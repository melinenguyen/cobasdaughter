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ster Checklist" sheetId="1" state="visible" r:id="rId3"/>
    <sheet name="Budget $4K" sheetId="2" state="visible" r:id="rId4"/>
    <sheet name="Event Ops" sheetId="3" state="visible" r:id="rId5"/>
    <sheet name="Marketing Captur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<sst xmlns="http://schemas.openxmlformats.org/spreadsheetml/2006/main" count="434" uniqueCount="295">
  <si>
    <t xml:space="preserve">CôBa's Daughter × Glossy — September 2026 Master Checklist</t>
  </si>
  <si>
    <t xml:space="preserve">Two events: Glossy Pop NYC gift bags (Sep 11, FIT) + Glossy Campus Game Day booth, UT Austin (Sep 12). All costs are estimates — confirm before ordering.</t>
  </si>
  <si>
    <t xml:space="preserve">LEGEND — blue text: editable inputs (qty, unit cost, owner, dates). Yellow fill: placeholder to confirm (Buyer/Finance/Glossy). Black: formulas, do not type over. Add rows in the spare section; Total column recalculates.</t>
  </si>
  <si>
    <t xml:space="preserve">Item</t>
  </si>
  <si>
    <t xml:space="preserve">Event</t>
  </si>
  <si>
    <t xml:space="preserve">Category</t>
  </si>
  <si>
    <t xml:space="preserve">Qty</t>
  </si>
  <si>
    <t xml:space="preserve">Unit Cost ($)</t>
  </si>
  <si>
    <t xml:space="preserve">Total ($)</t>
  </si>
  <si>
    <t xml:space="preserve">Cost Type</t>
  </si>
  <si>
    <t xml:space="preserve">Owner</t>
  </si>
  <si>
    <t xml:space="preserve">Source / Vendor</t>
  </si>
  <si>
    <t xml:space="preserve">Delivery Route</t>
  </si>
  <si>
    <t xml:space="preserve">Due</t>
  </si>
  <si>
    <t xml:space="preserve">Status</t>
  </si>
  <si>
    <t xml:space="preserve">Notes</t>
  </si>
  <si>
    <t xml:space="preserve">Miniset — current version (Plan B)</t>
  </si>
  <si>
    <t xml:space="preserve">NYC Pop</t>
  </si>
  <si>
    <t xml:space="preserve">Product</t>
  </si>
  <si>
    <t xml:space="preserve">Inventory COGS</t>
  </si>
  <si>
    <t xml:space="preserve">Head of Products</t>
  </si>
  <si>
    <t xml:space="preserve">Amazon AWD warehouse</t>
  </si>
  <si>
    <t xml:space="preserve">AWD removal → NYC helper address</t>
  </si>
  <si>
    <t xml:space="preserve">Aug 22</t>
  </si>
  <si>
    <t xml:space="preserve">Not started</t>
  </si>
  <si>
    <t xml:space="preserve">Unit cost = placeholder COGS, Finance to confirm. Superseded if Plan A miniset lands in time.</t>
  </si>
  <si>
    <t xml:space="preserve">Aloe Gel full-size (Plan B, gift bags)</t>
  </si>
  <si>
    <t xml:space="preserve">Placeholder COGS. Pairs with current miniset under Plan B.</t>
  </si>
  <si>
    <t xml:space="preserve">NEW miniset w/ loofah scrub (Plan A)</t>
  </si>
  <si>
    <t xml:space="preserve">Buyer team</t>
  </si>
  <si>
    <t xml:space="preserve">VN production</t>
  </si>
  <si>
    <t xml:space="preserve">Sea/air → NYC (gate: must land by Sep 4)</t>
  </si>
  <si>
    <t xml:space="preserve">Jul 24 gate</t>
  </si>
  <si>
    <t xml:space="preserve">Awaiting Buyer</t>
  </si>
  <si>
    <t xml:space="preserve">GATE: Buyer lead-time answer by Jul 24. If landed-by-Sep-4 impossible → execute Plan B rows above. Unit cost TBD.</t>
  </si>
  <si>
    <t xml:space="preserve">Aloe Gel full-size (game-day gifts)</t>
  </si>
  <si>
    <t xml:space="preserve">Game Day</t>
  </si>
  <si>
    <t xml:space="preserve">AWD removal → Austin house</t>
  </si>
  <si>
    <t xml:space="preserve">Aug 29</t>
  </si>
  <si>
    <t xml:space="preserve">Post-and-tag reward, capped/day. Placeholder COGS.</t>
  </si>
  <si>
    <t xml:space="preserve">Canvas drawstring bag, logo 1-color print</t>
  </si>
  <si>
    <t xml:space="preserve">Packaging</t>
  </si>
  <si>
    <t xml:space="preserve">Cash</t>
  </si>
  <si>
    <t xml:space="preserve">Brand Director</t>
  </si>
  <si>
    <t xml:space="preserve">US promo supplier (4imprint / Totally Promotional)</t>
  </si>
  <si>
    <t xml:space="preserve">US ship → NYC helper</t>
  </si>
  <si>
    <t xml:space="preserve">Aug 28</t>
  </si>
  <si>
    <t xml:space="preserve">100 bags + 10 spares. Get 2 quotes; US supplier only (no intl lead-time risk).</t>
  </si>
  <si>
    <t xml:space="preserve">Tissue paper + ribbon fillers</t>
  </si>
  <si>
    <t xml:space="preserve">NYC helper</t>
  </si>
  <si>
    <t xml:space="preserve">Amazon US</t>
  </si>
  <si>
    <t xml:space="preserve">Brand-adjacent colors: cream / kraft.</t>
  </si>
  <si>
    <t xml:space="preserve">Voucher booklet (perforated, binder-style)</t>
  </si>
  <si>
    <t xml:space="preserve">Printing</t>
  </si>
  <si>
    <t xml:space="preserve">US print (Vistaprint / local NYC)</t>
  </si>
  <si>
    <t xml:space="preserve">Unique codes per booklet if possible → per-bag attribution.</t>
  </si>
  <si>
    <t xml:space="preserve">Brand book, compact print</t>
  </si>
  <si>
    <t xml:space="preserve">US print OR handcarry (Sao &amp; Eva)</t>
  </si>
  <si>
    <t xml:space="preserve">US ship or handcarry</t>
  </si>
  <si>
    <t xml:space="preserve">Sep 8</t>
  </si>
  <si>
    <t xml:space="preserve">Compare: US print vs VN print + handcarry. Handcarry saves cash but adds luggage.</t>
  </si>
  <si>
    <t xml:space="preserve">Fortune ticket cards (quẻ), 500 pcs</t>
  </si>
  <si>
    <t xml:space="preserve">Brand Director + Emma</t>
  </si>
  <si>
    <t xml:space="preserve">Austin print shop</t>
  </si>
  <si>
    <t xml:space="preserve">Local pickup (Emma)</t>
  </si>
  <si>
    <t xml:space="preserve">Sep 5</t>
  </si>
  <si>
    <t xml:space="preserve">Western 'lucky ticket' design; voucher QR on back. Includes ~30 fortune texts.</t>
  </si>
  <si>
    <t xml:space="preserve">Numbered fortune sticks (craft dowels + numbering)</t>
  </si>
  <si>
    <t xml:space="preserve">Emma</t>
  </si>
  <si>
    <t xml:space="preserve">Craft store Austin + DIY numbering</t>
  </si>
  <si>
    <t xml:space="preserve">Local (Emma)</t>
  </si>
  <si>
    <t xml:space="preserve">Wood craft dowels; number stamp or burnt-orange dip ends.</t>
  </si>
  <si>
    <t xml:space="preserve">Easels for brand panels</t>
  </si>
  <si>
    <t xml:space="preserve">Booth &amp; Ops</t>
  </si>
  <si>
    <t xml:space="preserve">US ship → Austin house</t>
  </si>
  <si>
    <t xml:space="preserve">Reusable for every future US event.</t>
  </si>
  <si>
    <t xml:space="preserve">Cooler + ice + sanitary supplies</t>
  </si>
  <si>
    <t xml:space="preserve">HEB / local</t>
  </si>
  <si>
    <t xml:space="preserve">Sep 11</t>
  </si>
  <si>
    <t xml:space="preserve">Chilled aloe demo + cold towels.</t>
  </si>
  <si>
    <t xml:space="preserve">Booth misc (linens, tape, batteries, signage stands)</t>
  </si>
  <si>
    <t xml:space="preserve">Local</t>
  </si>
  <si>
    <t xml:space="preserve">Sep 10</t>
  </si>
  <si>
    <t xml:space="preserve">NYC helper — assembly + delivery to FIT</t>
  </si>
  <si>
    <t xml:space="preserve">Labor</t>
  </si>
  <si>
    <t xml:space="preserve">TaskRabbit / referral (hire by Aug 15)</t>
  </si>
  <si>
    <t xml:space="preserve">—</t>
  </si>
  <si>
    <t xml:space="preserve">Sep 9–10 work</t>
  </si>
  <si>
    <t xml:space="preserve">Not hired</t>
  </si>
  <si>
    <t xml:space="preserve">1 day assembly + drop at FIT per Glossy load-in instructions. Different person from Emma.</t>
  </si>
  <si>
    <t xml:space="preserve">Emma — Austin prep + event day</t>
  </si>
  <si>
    <t xml:space="preserve">Rehire (May event)</t>
  </si>
  <si>
    <t xml:space="preserve">Sep 10–12 work</t>
  </si>
  <si>
    <t xml:space="preserve">To confirm</t>
  </si>
  <si>
    <t xml:space="preserve">Prep day (sticks, cards, kit assembly) + full event day.</t>
  </si>
  <si>
    <t xml:space="preserve">Parcels &amp; AWD removal fees → NYC</t>
  </si>
  <si>
    <t xml:space="preserve">Logistics</t>
  </si>
  <si>
    <t xml:space="preserve">Amazon AWD + UPS/USPS</t>
  </si>
  <si>
    <t xml:space="preserve">US only</t>
  </si>
  <si>
    <t xml:space="preserve">Aug 22–28</t>
  </si>
  <si>
    <t xml:space="preserve">No international shipping. Handcarry (Sao &amp; Eva) covers small/premium items only.</t>
  </si>
  <si>
    <t xml:space="preserve">Austin local transport &amp; stock moves</t>
  </si>
  <si>
    <t xml:space="preserve">Sep 10–12</t>
  </si>
  <si>
    <t xml:space="preserve">Austin house → campus load-in.</t>
  </si>
  <si>
    <t xml:space="preserve">Creator gifting kits (existing merch)</t>
  </si>
  <si>
    <t xml:space="preserve">Existing stock</t>
  </si>
  <si>
    <t xml:space="preserve">Austin house stock (rattan bags, scarves, fans)</t>
  </si>
  <si>
    <t xml:space="preserve">Already in Austin</t>
  </si>
  <si>
    <t xml:space="preserve">Planned</t>
  </si>
  <si>
    <t xml:space="preserve">$0 cash — rattan bags ×6, scarves, fans, brand books from existing stock.</t>
  </si>
  <si>
    <t xml:space="preserve">Contingency reserve</t>
  </si>
  <si>
    <t xml:space="preserve">Both</t>
  </si>
  <si>
    <t xml:space="preserve">Contingency</t>
  </si>
  <si>
    <t xml:space="preserve">Reserved</t>
  </si>
  <si>
    <t xml:space="preserve">~8% buffer for quote overruns / reprints / extra bags.</t>
  </si>
  <si>
    <t xml:space="preserve">Get-ready salon furnishing (mirrors, seating, space)</t>
  </si>
  <si>
    <t xml:space="preserve">Glossy package (TBD)</t>
  </si>
  <si>
    <t xml:space="preserve">Dylan / Glossy</t>
  </si>
  <si>
    <t xml:space="preserve">Glossy Campus package</t>
  </si>
  <si>
    <t xml:space="preserve">On site</t>
  </si>
  <si>
    <t xml:space="preserve">Aug 3</t>
  </si>
  <si>
    <t xml:space="preserve">Awaiting package</t>
  </si>
  <si>
    <t xml:space="preserve">Expected inside Glossy's package — fee comes to the board separately, outside the $4K envelope.</t>
  </si>
  <si>
    <t xml:space="preserve">TOTAL (all rows incl. additions)</t>
  </si>
  <si>
    <t xml:space="preserve">Budget Allocation — Total $4,000 (both events)</t>
  </si>
  <si>
    <t xml:space="preserve">Estimated pulls live from Master Checklist (SUMIFS by Category). Allocations in blue are the plan — edit to reallocate; Remaining shows headroom.</t>
  </si>
  <si>
    <t xml:space="preserve">TOTAL BUDGET</t>
  </si>
  <si>
    <t xml:space="preserve">Allocated ($)</t>
  </si>
  <si>
    <t xml:space="preserve">Estimated ($, live)</t>
  </si>
  <si>
    <t xml:space="preserve">Remaining ($)</t>
  </si>
  <si>
    <t xml:space="preserve">% of budget</t>
  </si>
  <si>
    <t xml:space="preserve">TOTAL</t>
  </si>
  <si>
    <t xml:space="preserve">View: cash out-of-pocket vs inventory</t>
  </si>
  <si>
    <t xml:space="preserve">Cash out-of-pocket</t>
  </si>
  <si>
    <t xml:space="preserve">Inventory COGS (from AWD stock)</t>
  </si>
  <si>
    <t xml:space="preserve">Existing stock (zero cost)</t>
  </si>
  <si>
    <t xml:space="preserve">Note: if the BOD treats AWD product as inventory (not event cash), the cash ask is ~$2.0K of the $4.0K envelope.</t>
  </si>
  <si>
    <t xml:space="preserve">Event Operations — v5 (get-ready salon + booth) · run-of-show &amp; prep timeline</t>
  </si>
  <si>
    <t xml:space="preserve">PREP TIMELINE (both events) — v5 adds the date gate + Dylan's package</t>
  </si>
  <si>
    <t xml:space="preserve">Week / Date</t>
  </si>
  <si>
    <t xml:space="preserve">Milestone</t>
  </si>
  <si>
    <t xml:space="preserve">Detail</t>
  </si>
  <si>
    <t xml:space="preserve">W Jul 20</t>
  </si>
  <si>
    <t xml:space="preserve">CONFIRM DATE with Dylan: Sep 12 recommended (Sep 19 fallback) + share our concept</t>
  </si>
  <si>
    <t xml:space="preserve">Unlocks Glossy's formal concept &amp; package (salon space, creator guest list, fee). Concept: /glossy-gameday/concept.html</t>
  </si>
  <si>
    <t xml:space="preserve">Buyer lead-time answer — new miniset w/ loofah (GATE)</t>
  </si>
  <si>
    <t xml:space="preserve">Plan A vs Plan B for NYC bags. Must land NYC by Sep 4.</t>
  </si>
  <si>
    <t xml:space="preserve">Confirm NYC bag count + FIT load-in with Glossy</t>
  </si>
  <si>
    <t xml:space="preserve">Bag qty drives product order.</t>
  </si>
  <si>
    <t xml:space="preserve">W Jul 24</t>
  </si>
  <si>
    <t xml:space="preserve">Buyer confirms silk scarf qty (salon braid bar + kits)</t>
  </si>
  <si>
    <t xml:space="preserve">W Jul 27</t>
  </si>
  <si>
    <t xml:space="preserve">Fortune texts (~30) + lucky-ticket design; voucher booklet design</t>
  </si>
  <si>
    <t xml:space="preserve">Western-modern styling rule: heritage in objects, modernity in scene.</t>
  </si>
  <si>
    <t xml:space="preserve">W Aug 3</t>
  </si>
  <si>
    <t xml:space="preserve">Dylan's package + salon creator guest list reviewed &amp; locked</t>
  </si>
  <si>
    <t xml:space="preserve">Package fee goes to board as its own line (outside the $4K).</t>
  </si>
  <si>
    <t xml:space="preserve">Order drawstring bags + voucher booklets; Klaviyo/Shopify codes (glossypop / gameday)</t>
  </si>
  <si>
    <t xml:space="preserve">Clone Endless Summer flow.</t>
  </si>
  <si>
    <t xml:space="preserve">W Aug 10</t>
  </si>
  <si>
    <t xml:space="preserve">Hire NYC helper (by Aug 15)</t>
  </si>
  <si>
    <t xml:space="preserve">Photo-guided assembly brief.</t>
  </si>
  <si>
    <t xml:space="preserve">W Aug 17</t>
  </si>
  <si>
    <t xml:space="preserve">AWD removal orders placed (NYC 100+100, Austin 50)</t>
  </si>
  <si>
    <t xml:space="preserve">1–2 weeks AWD processing + transit.</t>
  </si>
  <si>
    <t xml:space="preserve">W Aug 24</t>
  </si>
  <si>
    <t xml:space="preserve">All NYC components at helper's address; test-assemble 1 bag, photo-approve</t>
  </si>
  <si>
    <t xml:space="preserve">W Sep 1</t>
  </si>
  <si>
    <t xml:space="preserve">Austin print pickup; sticks numbered; salon kit assembly plan</t>
  </si>
  <si>
    <t xml:space="preserve">Sep 8–10</t>
  </si>
  <si>
    <t xml:space="preserve">Sao &amp; Eva arrive (handcarry premium small items); NYC bags assembled Sep 9–10</t>
  </si>
  <si>
    <t xml:space="preserve">All</t>
  </si>
  <si>
    <t xml:space="preserve">NYC: bags delivered to FIT per Glossy instructions (signed receipt + photos)</t>
  </si>
  <si>
    <t xml:space="preserve">Glossy Pop NYC runs (no staffing) · Austin: salon walkthrough + Emma brief + load-in prep</t>
  </si>
  <si>
    <t xml:space="preserve">Walk the salon space with Dylan's team if available.</t>
  </si>
  <si>
    <t xml:space="preserve">Sep 12</t>
  </si>
  <si>
    <t xml:space="preserve">GAME DAY — salon 10:00 → booth → dusk kickoff (run-of-show below)</t>
  </si>
  <si>
    <t xml:space="preserve">Sep 13</t>
  </si>
  <si>
    <t xml:space="preserve">Debrief; content offload; redemption tracking to Sep 30</t>
  </si>
  <si>
    <t xml:space="preserve">GAME DAY RUN-OF-SHOW — salon in the morning, booth till kickoff</t>
  </si>
  <si>
    <t xml:space="preserve">Time (CT)</t>
  </si>
  <si>
    <t xml:space="preserve">Station / Activity</t>
  </si>
  <si>
    <t xml:space="preserve">Who</t>
  </si>
  <si>
    <t xml:space="preserve">07:30–09:30</t>
  </si>
  <si>
    <t xml:space="preserve">Load-in + build: salon styling, booth zones, pendant lights, fortune table, aloe cooler</t>
  </si>
  <si>
    <t xml:space="preserve">All 4</t>
  </si>
  <si>
    <t xml:space="preserve">Per Dylan's window; build timelapse for content.</t>
  </si>
  <si>
    <t xml:space="preserve">10:00–13:00</t>
  </si>
  <si>
    <t xml:space="preserve">GET-READY SALON — curated creators in waves: COOL → STYLE → DRAW → KEEP</t>
  </si>
  <si>
    <t xml:space="preserve">Sao (host) · Eva (aloe/styling) · Emma (fortunes)</t>
  </si>
  <si>
    <t xml:space="preserve">Kits gifted; GRWM content shot in our frame; founder meet-and-greet.</t>
  </si>
  <si>
    <t xml:space="preserve">13:00–17:00</t>
  </si>
  <si>
    <t xml:space="preserve">BOOTH OPENS — public fortune draws + aloe station through peak heat</t>
  </si>
  <si>
    <t xml:space="preserve">Emma (fortune) · Eva (aloe) · Sao (content/roaming)</t>
  </si>
  <si>
    <t xml:space="preserve">GameDay crowd; hourly content check-ins.</t>
  </si>
  <si>
    <t xml:space="preserve">17:00–18:30</t>
  </si>
  <si>
    <t xml:space="preserve">GOLDEN HOUR — pendant lights on; hourly scarf draw; founder reel close</t>
  </si>
  <si>
    <t xml:space="preserve">Best light; announce draws to hold the crowd.</t>
  </si>
  <si>
    <t xml:space="preserve">18:30+</t>
  </si>
  <si>
    <t xml:space="preserve">Kickoff push — last draws, tagged-post aloe gifts; teardown per Dylan</t>
  </si>
  <si>
    <t xml:space="preserve">Emma + hands</t>
  </si>
  <si>
    <t xml:space="preserve">Inventory count → report.</t>
  </si>
  <si>
    <t xml:space="preserve">ROLES</t>
  </si>
  <si>
    <t xml:space="preserve">Person</t>
  </si>
  <si>
    <t xml:space="preserve">Role</t>
  </si>
  <si>
    <t xml:space="preserve">Where</t>
  </si>
  <si>
    <t xml:space="preserve">Sao</t>
  </si>
  <si>
    <t xml:space="preserve">Salon host + founder content lead</t>
  </si>
  <si>
    <t xml:space="preserve">Austin</t>
  </si>
  <si>
    <t xml:space="preserve">The face of the get-ready; handcarry premium items.</t>
  </si>
  <si>
    <t xml:space="preserve">Eva</t>
  </si>
  <si>
    <t xml:space="preserve">Aloe station + styling support (salon &amp; booth)</t>
  </si>
  <si>
    <t xml:space="preserve">Handcarry partner.</t>
  </si>
  <si>
    <t xml:space="preserve">Fortune table, prep, logistics</t>
  </si>
  <si>
    <t xml:space="preserve">Rehired from May event.</t>
  </si>
  <si>
    <t xml:space="preserve">NYC helper (hire by Aug 15)</t>
  </si>
  <si>
    <t xml:space="preserve">Gift bag assembly + FIT delivery</t>
  </si>
  <si>
    <t xml:space="preserve">NYC</t>
  </si>
  <si>
    <t xml:space="preserve">Independent hire.</t>
  </si>
  <si>
    <t xml:space="preserve">Dylan (Glossy)</t>
  </si>
  <si>
    <t xml:space="preserve">Formal concept + package, salon space, creator guest list, load-in</t>
  </si>
  <si>
    <t xml:space="preserve">Glossy</t>
  </si>
  <si>
    <t xml:space="preserve">Package fee = separate board line, outside the $4K.</t>
  </si>
  <si>
    <t xml:space="preserve">Marketing Capture Plan — make both events work online</t>
  </si>
  <si>
    <t xml:space="preserve">TRACKING SETUP (before Aug 15)</t>
  </si>
  <si>
    <t xml:space="preserve">Mechanism</t>
  </si>
  <si>
    <t xml:space="preserve">How</t>
  </si>
  <si>
    <t xml:space="preserve">KPI</t>
  </si>
  <si>
    <t xml:space="preserve">Voucher codes — NYC</t>
  </si>
  <si>
    <t xml:space="preserve">Booklet code(s) scoped + tagged 'glossypop' in Shopify; unique per booklet if print allows</t>
  </si>
  <si>
    <t xml:space="preserve">Redemptions by Sep 30</t>
  </si>
  <si>
    <t xml:space="preserve">Voucher QR — Game Day</t>
  </si>
  <si>
    <t xml:space="preserve">Ticket-card QR → Klaviyo signup → single-use 15–20% code tagged 'gameday'</t>
  </si>
  <si>
    <t xml:space="preserve">250–400 emails; redemptions</t>
  </si>
  <si>
    <t xml:space="preserve">UGC loop — Game Day</t>
  </si>
  <si>
    <t xml:space="preserve">Draw quẻ → photo at lantern corner → post IG + tag @cobasdaughter → Aloe Gel gift</t>
  </si>
  <si>
    <t xml:space="preserve">Emma enforces at booth</t>
  </si>
  <si>
    <t xml:space="preserve">60–80 tagged posts/stories</t>
  </si>
  <si>
    <t xml:space="preserve">Hashtag &amp; mentions</t>
  </si>
  <si>
    <t xml:space="preserve">#cobasdaughter monitored during Sep 11–14; reshare best to stories</t>
  </si>
  <si>
    <t xml:space="preserve">Brand team VN</t>
  </si>
  <si>
    <t xml:space="preserve">Mentions lift vs Aug baseline</t>
  </si>
  <si>
    <t xml:space="preserve">Amazon branded search</t>
  </si>
  <si>
    <t xml:space="preserve">Watch branded-search trend Sep 12–30 (May event precedent: +327% w/ SB)</t>
  </si>
  <si>
    <t xml:space="preserve">Branded search lift</t>
  </si>
  <si>
    <t xml:space="preserve">CONTENT SHOT LIST — Game Day (owner: Sao)</t>
  </si>
  <si>
    <t xml:space="preserve">Asset</t>
  </si>
  <si>
    <t xml:space="preserve">Format</t>
  </si>
  <si>
    <t xml:space="preserve">When</t>
  </si>
  <si>
    <t xml:space="preserve">Destination</t>
  </si>
  <si>
    <t xml:space="preserve">Founder 'come with me to game day' reel</t>
  </si>
  <si>
    <t xml:space="preserve">IG reel 30–60s</t>
  </si>
  <si>
    <t xml:space="preserve">Morning → dusk arc</t>
  </si>
  <si>
    <t xml:space="preserve">IG + TikTok (150.7K-view format from June)</t>
  </si>
  <si>
    <t xml:space="preserve">Booth build timelapse</t>
  </si>
  <si>
    <t xml:space="preserve">Reel/story</t>
  </si>
  <si>
    <t xml:space="preserve">07:30–09:00</t>
  </si>
  <si>
    <t xml:space="preserve">Stories + report</t>
  </si>
  <si>
    <t xml:space="preserve">Fortune draw reactions ×10+</t>
  </si>
  <si>
    <t xml:space="preserve">Short clips</t>
  </si>
  <si>
    <t xml:space="preserve">All day</t>
  </si>
  <si>
    <t xml:space="preserve">Ad engine (tracker1) + organic</t>
  </si>
  <si>
    <t xml:space="preserve">Aloe relief POV ('watch them cool down')</t>
  </si>
  <si>
    <t xml:space="preserve">Reel</t>
  </si>
  <si>
    <t xml:space="preserve">Peak heat 12–15h</t>
  </si>
  <si>
    <t xml:space="preserve">Ads + organic</t>
  </si>
  <si>
    <t xml:space="preserve">Lantern corner golden-hour set</t>
  </si>
  <si>
    <t xml:space="preserve">Photos + b-roll</t>
  </si>
  <si>
    <t xml:space="preserve">17–18:30</t>
  </si>
  <si>
    <t xml:space="preserve">Brand library + Q3 report</t>
  </si>
  <si>
    <t xml:space="preserve">Creator visits + kit unboxings</t>
  </si>
  <si>
    <t xml:space="preserve">Creator-owned</t>
  </si>
  <si>
    <t xml:space="preserve">Scheduled slots</t>
  </si>
  <si>
    <t xml:space="preserve">Whitelist best into Spark/Meta</t>
  </si>
  <si>
    <t xml:space="preserve">NYC: bag assembly + FIT drop-off photos</t>
  </si>
  <si>
    <t xml:space="preserve">Photos</t>
  </si>
  <si>
    <t xml:space="preserve">Sep 9–10</t>
  </si>
  <si>
    <t xml:space="preserve">Recap post + BOD report</t>
  </si>
  <si>
    <t xml:space="preserve">POST-EVENT (Sep 13–30)</t>
  </si>
  <si>
    <t xml:space="preserve">Action</t>
  </si>
  <si>
    <t xml:space="preserve">Content offload → calendar</t>
  </si>
  <si>
    <t xml:space="preserve">40–60 clips → 4–6 weeks organic + ad engine</t>
  </si>
  <si>
    <t xml:space="preserve">Brand team</t>
  </si>
  <si>
    <t xml:space="preserve">Sep 15</t>
  </si>
  <si>
    <t xml:space="preserve">Reshare + whitelist UGC</t>
  </si>
  <si>
    <t xml:space="preserve">Best tagged posts → stories; top creators → Spark Ads</t>
  </si>
  <si>
    <t xml:space="preserve">Sep 20</t>
  </si>
  <si>
    <t xml:space="preserve">Redemption + email report</t>
  </si>
  <si>
    <t xml:space="preserve">glossypop / gameday code redemptions + Klaviyo list growth</t>
  </si>
  <si>
    <t xml:space="preserve">Oct 2</t>
  </si>
  <si>
    <t xml:space="preserve">Q3 report event section</t>
  </si>
  <si>
    <t xml:space="preserve">Reuse May 'growth after the event' framing</t>
  </si>
  <si>
    <t xml:space="preserve">Oct</t>
  </si>
  <si>
    <t xml:space="preserve">Q4 gifting segue</t>
  </si>
  <si>
    <t xml:space="preserve">Voucher validity ends Sep 30 → retarget into Q4 'Thoughtful Gifting'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</si>
</sst>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;&quot;($&quot;#,##0.00\);\-"/>
    <numFmt numFmtId="166" formatCode="\$#,##0;&quot;($&quot;#,##0\);\-"/>
    <numFmt numFmtId="167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713F21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i val="true"/>
      <sz val="9"/>
      <color rgb="FF713F2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713F2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713F21"/>
        <bgColor rgb="FF993366"/>
      </patternFill>
    </fill>
    <fill>
      <patternFill patternType="solid">
        <fgColor rgb="FFFFFF00"/>
        <bgColor rgb="FFFFFF00"/>
      </patternFill>
    </fill>
    <fill>
      <patternFill patternType="solid">
        <fgColor rgb="FFEFE4D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EFE4D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713F21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7"/>
    <col collapsed="false" customWidth="true" hidden="false" outlineLevel="0" max="6" min="5" style="1" width="11"/>
    <col collapsed="false" customWidth="true" hidden="false" outlineLevel="0" max="7" min="7" style="1" width="15"/>
    <col collapsed="false" customWidth="true" hidden="false" outlineLevel="0" max="8" min="8" style="1" width="16"/>
    <col collapsed="false" customWidth="true" hidden="false" outlineLevel="0" max="9" min="9" style="1" width="24"/>
    <col collapsed="false" customWidth="true" hidden="false" outlineLevel="0" max="10" min="10" style="1" width="26"/>
    <col collapsed="false" customWidth="true" hidden="false" outlineLevel="0" max="11" min="11" style="1" width="11"/>
    <col collapsed="false" customWidth="true" hidden="false" outlineLevel="0" max="12" min="12" style="1" width="12"/>
    <col collapsed="false" customWidth="true" hidden="false" outlineLevel="0" max="13" min="13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</row>
    <row r="5" customFormat="false" ht="23.2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</row>
    <row r="6" customFormat="false" ht="23.25" hidden="false" customHeight="true" outlineLevel="0" collapsed="false">
      <c r="A6" s="6" t="s">
        <v>16</v>
      </c>
      <c r="B6" s="7" t="s">
        <v>17</v>
      </c>
      <c r="C6" s="7" t="s">
        <v>18</v>
      </c>
      <c r="D6" s="8" t="n">
        <v>100</v>
      </c>
      <c r="E6" s="9" t="n">
        <v>7</v>
      </c>
      <c r="F6" s="10" t="n">
        <f aca="false">D6*E6</f>
        <v>700</v>
      </c>
      <c r="G6" s="7" t="s">
        <v>19</v>
      </c>
      <c r="H6" s="8" t="s">
        <v>20</v>
      </c>
      <c r="I6" s="6" t="s">
        <v>21</v>
      </c>
      <c r="J6" s="6" t="s">
        <v>22</v>
      </c>
      <c r="K6" s="8" t="s">
        <v>23</v>
      </c>
      <c r="L6" s="8" t="s">
        <v>24</v>
      </c>
      <c r="M6" s="6" t="s">
        <v>25</v>
      </c>
    </row>
    <row r="7" customFormat="false" ht="23.25" hidden="false" customHeight="true" outlineLevel="0" collapsed="false">
      <c r="A7" s="6" t="s">
        <v>26</v>
      </c>
      <c r="B7" s="7" t="s">
        <v>17</v>
      </c>
      <c r="C7" s="7" t="s">
        <v>18</v>
      </c>
      <c r="D7" s="8" t="n">
        <v>100</v>
      </c>
      <c r="E7" s="9" t="n">
        <v>8.5</v>
      </c>
      <c r="F7" s="10" t="n">
        <f aca="false">D7*E7</f>
        <v>850</v>
      </c>
      <c r="G7" s="7" t="s">
        <v>19</v>
      </c>
      <c r="H7" s="8" t="s">
        <v>20</v>
      </c>
      <c r="I7" s="6" t="s">
        <v>21</v>
      </c>
      <c r="J7" s="6" t="s">
        <v>22</v>
      </c>
      <c r="K7" s="8" t="s">
        <v>23</v>
      </c>
      <c r="L7" s="8" t="s">
        <v>24</v>
      </c>
      <c r="M7" s="6" t="s">
        <v>27</v>
      </c>
    </row>
    <row r="8" customFormat="false" ht="34.5" hidden="false" customHeight="true" outlineLevel="0" collapsed="false">
      <c r="A8" s="6" t="s">
        <v>28</v>
      </c>
      <c r="B8" s="7" t="s">
        <v>17</v>
      </c>
      <c r="C8" s="7" t="s">
        <v>18</v>
      </c>
      <c r="D8" s="8" t="n">
        <v>100</v>
      </c>
      <c r="E8" s="9" t="n">
        <v>0</v>
      </c>
      <c r="F8" s="10" t="n">
        <f aca="false">D8*E8</f>
        <v>0</v>
      </c>
      <c r="G8" s="7" t="s">
        <v>19</v>
      </c>
      <c r="H8" s="8" t="s">
        <v>29</v>
      </c>
      <c r="I8" s="6" t="s">
        <v>30</v>
      </c>
      <c r="J8" s="6" t="s">
        <v>31</v>
      </c>
      <c r="K8" s="8" t="s">
        <v>32</v>
      </c>
      <c r="L8" s="8" t="s">
        <v>33</v>
      </c>
      <c r="M8" s="6" t="s">
        <v>34</v>
      </c>
    </row>
    <row r="9" customFormat="false" ht="15" hidden="false" customHeight="true" outlineLevel="0" collapsed="false">
      <c r="A9" s="6" t="s">
        <v>35</v>
      </c>
      <c r="B9" s="7" t="s">
        <v>36</v>
      </c>
      <c r="C9" s="7" t="s">
        <v>18</v>
      </c>
      <c r="D9" s="8" t="n">
        <v>50</v>
      </c>
      <c r="E9" s="9" t="n">
        <v>8.5</v>
      </c>
      <c r="F9" s="10" t="n">
        <f aca="false">D9*E9</f>
        <v>425</v>
      </c>
      <c r="G9" s="7" t="s">
        <v>19</v>
      </c>
      <c r="H9" s="8" t="s">
        <v>20</v>
      </c>
      <c r="I9" s="6" t="s">
        <v>21</v>
      </c>
      <c r="J9" s="6" t="s">
        <v>37</v>
      </c>
      <c r="K9" s="8" t="s">
        <v>38</v>
      </c>
      <c r="L9" s="8" t="s">
        <v>24</v>
      </c>
      <c r="M9" s="6" t="s">
        <v>39</v>
      </c>
    </row>
    <row r="10" customFormat="false" ht="34.5" hidden="false" customHeight="true" outlineLevel="0" collapsed="false">
      <c r="A10" s="6" t="s">
        <v>40</v>
      </c>
      <c r="B10" s="7" t="s">
        <v>17</v>
      </c>
      <c r="C10" s="7" t="s">
        <v>41</v>
      </c>
      <c r="D10" s="8" t="n">
        <v>110</v>
      </c>
      <c r="E10" s="11" t="n">
        <v>2.9</v>
      </c>
      <c r="F10" s="10" t="n">
        <f aca="false">D10*E10</f>
        <v>319</v>
      </c>
      <c r="G10" s="7" t="s">
        <v>42</v>
      </c>
      <c r="H10" s="8" t="s">
        <v>43</v>
      </c>
      <c r="I10" s="6" t="s">
        <v>44</v>
      </c>
      <c r="J10" s="6" t="s">
        <v>45</v>
      </c>
      <c r="K10" s="8" t="s">
        <v>46</v>
      </c>
      <c r="L10" s="8" t="s">
        <v>24</v>
      </c>
      <c r="M10" s="6" t="s">
        <v>47</v>
      </c>
    </row>
    <row r="11" customFormat="false" ht="15" hidden="false" customHeight="true" outlineLevel="0" collapsed="false">
      <c r="A11" s="6" t="s">
        <v>48</v>
      </c>
      <c r="B11" s="7" t="s">
        <v>17</v>
      </c>
      <c r="C11" s="7" t="s">
        <v>41</v>
      </c>
      <c r="D11" s="8" t="n">
        <v>1</v>
      </c>
      <c r="E11" s="11" t="n">
        <v>40</v>
      </c>
      <c r="F11" s="10" t="n">
        <f aca="false">D11*E11</f>
        <v>40</v>
      </c>
      <c r="G11" s="7" t="s">
        <v>42</v>
      </c>
      <c r="H11" s="8" t="s">
        <v>49</v>
      </c>
      <c r="I11" s="6" t="s">
        <v>50</v>
      </c>
      <c r="J11" s="6" t="s">
        <v>45</v>
      </c>
      <c r="K11" s="8" t="s">
        <v>46</v>
      </c>
      <c r="L11" s="8" t="s">
        <v>24</v>
      </c>
      <c r="M11" s="6" t="s">
        <v>51</v>
      </c>
    </row>
    <row r="12" customFormat="false" ht="23.25" hidden="false" customHeight="true" outlineLevel="0" collapsed="false">
      <c r="A12" s="6" t="s">
        <v>52</v>
      </c>
      <c r="B12" s="7" t="s">
        <v>17</v>
      </c>
      <c r="C12" s="7" t="s">
        <v>53</v>
      </c>
      <c r="D12" s="8" t="n">
        <v>100</v>
      </c>
      <c r="E12" s="11" t="n">
        <v>1.7</v>
      </c>
      <c r="F12" s="10" t="n">
        <f aca="false">D12*E12</f>
        <v>170</v>
      </c>
      <c r="G12" s="7" t="s">
        <v>42</v>
      </c>
      <c r="H12" s="8" t="s">
        <v>43</v>
      </c>
      <c r="I12" s="6" t="s">
        <v>54</v>
      </c>
      <c r="J12" s="6" t="s">
        <v>45</v>
      </c>
      <c r="K12" s="8" t="s">
        <v>46</v>
      </c>
      <c r="L12" s="8" t="s">
        <v>24</v>
      </c>
      <c r="M12" s="6" t="s">
        <v>55</v>
      </c>
    </row>
    <row r="13" customFormat="false" ht="23.25" hidden="false" customHeight="true" outlineLevel="0" collapsed="false">
      <c r="A13" s="6" t="s">
        <v>56</v>
      </c>
      <c r="B13" s="7" t="s">
        <v>17</v>
      </c>
      <c r="C13" s="7" t="s">
        <v>53</v>
      </c>
      <c r="D13" s="8" t="n">
        <v>100</v>
      </c>
      <c r="E13" s="11" t="n">
        <v>1</v>
      </c>
      <c r="F13" s="10" t="n">
        <f aca="false">D13*E13</f>
        <v>100</v>
      </c>
      <c r="G13" s="7" t="s">
        <v>42</v>
      </c>
      <c r="H13" s="8" t="s">
        <v>43</v>
      </c>
      <c r="I13" s="6" t="s">
        <v>57</v>
      </c>
      <c r="J13" s="6" t="s">
        <v>58</v>
      </c>
      <c r="K13" s="8" t="s">
        <v>59</v>
      </c>
      <c r="L13" s="8" t="s">
        <v>24</v>
      </c>
      <c r="M13" s="6" t="s">
        <v>60</v>
      </c>
    </row>
    <row r="14" customFormat="false" ht="23.25" hidden="false" customHeight="true" outlineLevel="0" collapsed="false">
      <c r="A14" s="6" t="s">
        <v>61</v>
      </c>
      <c r="B14" s="7" t="s">
        <v>36</v>
      </c>
      <c r="C14" s="7" t="s">
        <v>53</v>
      </c>
      <c r="D14" s="8" t="n">
        <v>1</v>
      </c>
      <c r="E14" s="11" t="n">
        <v>90</v>
      </c>
      <c r="F14" s="10" t="n">
        <f aca="false">D14*E14</f>
        <v>90</v>
      </c>
      <c r="G14" s="7" t="s">
        <v>42</v>
      </c>
      <c r="H14" s="8" t="s">
        <v>62</v>
      </c>
      <c r="I14" s="6" t="s">
        <v>63</v>
      </c>
      <c r="J14" s="6" t="s">
        <v>64</v>
      </c>
      <c r="K14" s="8" t="s">
        <v>65</v>
      </c>
      <c r="L14" s="8" t="s">
        <v>24</v>
      </c>
      <c r="M14" s="6" t="s">
        <v>66</v>
      </c>
    </row>
    <row r="15" customFormat="false" ht="23.25" hidden="false" customHeight="true" outlineLevel="0" collapsed="false">
      <c r="A15" s="6" t="s">
        <v>67</v>
      </c>
      <c r="B15" s="7" t="s">
        <v>36</v>
      </c>
      <c r="C15" s="7" t="s">
        <v>53</v>
      </c>
      <c r="D15" s="8" t="n">
        <v>100</v>
      </c>
      <c r="E15" s="11" t="n">
        <v>0.4</v>
      </c>
      <c r="F15" s="10" t="n">
        <f aca="false">D15*E15</f>
        <v>40</v>
      </c>
      <c r="G15" s="7" t="s">
        <v>42</v>
      </c>
      <c r="H15" s="8" t="s">
        <v>68</v>
      </c>
      <c r="I15" s="6" t="s">
        <v>69</v>
      </c>
      <c r="J15" s="6" t="s">
        <v>70</v>
      </c>
      <c r="K15" s="8" t="s">
        <v>65</v>
      </c>
      <c r="L15" s="8" t="s">
        <v>24</v>
      </c>
      <c r="M15" s="6" t="s">
        <v>71</v>
      </c>
    </row>
    <row r="16" customFormat="false" ht="15" hidden="false" customHeight="true" outlineLevel="0" collapsed="false">
      <c r="A16" s="6" t="s">
        <v>72</v>
      </c>
      <c r="B16" s="7" t="s">
        <v>36</v>
      </c>
      <c r="C16" s="7" t="s">
        <v>73</v>
      </c>
      <c r="D16" s="8" t="n">
        <v>7</v>
      </c>
      <c r="E16" s="11" t="n">
        <v>15</v>
      </c>
      <c r="F16" s="10" t="n">
        <f aca="false">D16*E16</f>
        <v>105</v>
      </c>
      <c r="G16" s="7" t="s">
        <v>42</v>
      </c>
      <c r="H16" s="8" t="s">
        <v>68</v>
      </c>
      <c r="I16" s="6" t="s">
        <v>50</v>
      </c>
      <c r="J16" s="6" t="s">
        <v>74</v>
      </c>
      <c r="K16" s="8" t="s">
        <v>59</v>
      </c>
      <c r="L16" s="8" t="s">
        <v>24</v>
      </c>
      <c r="M16" s="6" t="s">
        <v>75</v>
      </c>
    </row>
    <row r="17" customFormat="false" ht="15" hidden="false" customHeight="true" outlineLevel="0" collapsed="false">
      <c r="A17" s="6" t="s">
        <v>76</v>
      </c>
      <c r="B17" s="7" t="s">
        <v>36</v>
      </c>
      <c r="C17" s="7" t="s">
        <v>73</v>
      </c>
      <c r="D17" s="8" t="n">
        <v>1</v>
      </c>
      <c r="E17" s="11" t="n">
        <v>80</v>
      </c>
      <c r="F17" s="10" t="n">
        <f aca="false">D17*E17</f>
        <v>80</v>
      </c>
      <c r="G17" s="7" t="s">
        <v>42</v>
      </c>
      <c r="H17" s="8" t="s">
        <v>68</v>
      </c>
      <c r="I17" s="6" t="s">
        <v>77</v>
      </c>
      <c r="J17" s="6" t="s">
        <v>70</v>
      </c>
      <c r="K17" s="8" t="s">
        <v>78</v>
      </c>
      <c r="L17" s="8" t="s">
        <v>24</v>
      </c>
      <c r="M17" s="6" t="s">
        <v>79</v>
      </c>
    </row>
    <row r="18" customFormat="false" ht="23.25" hidden="false" customHeight="true" outlineLevel="0" collapsed="false">
      <c r="A18" s="6" t="s">
        <v>80</v>
      </c>
      <c r="B18" s="7" t="s">
        <v>36</v>
      </c>
      <c r="C18" s="7" t="s">
        <v>73</v>
      </c>
      <c r="D18" s="8" t="n">
        <v>1</v>
      </c>
      <c r="E18" s="11" t="n">
        <v>50</v>
      </c>
      <c r="F18" s="10" t="n">
        <f aca="false">D18*E18</f>
        <v>50</v>
      </c>
      <c r="G18" s="7" t="s">
        <v>42</v>
      </c>
      <c r="H18" s="8" t="s">
        <v>68</v>
      </c>
      <c r="I18" s="6" t="s">
        <v>81</v>
      </c>
      <c r="J18" s="6" t="s">
        <v>70</v>
      </c>
      <c r="K18" s="8" t="s">
        <v>82</v>
      </c>
      <c r="L18" s="8" t="s">
        <v>24</v>
      </c>
      <c r="M18" s="6"/>
    </row>
    <row r="19" customFormat="false" ht="23.25" hidden="false" customHeight="true" outlineLevel="0" collapsed="false">
      <c r="A19" s="6" t="s">
        <v>83</v>
      </c>
      <c r="B19" s="7" t="s">
        <v>17</v>
      </c>
      <c r="C19" s="7" t="s">
        <v>84</v>
      </c>
      <c r="D19" s="8" t="n">
        <v>1</v>
      </c>
      <c r="E19" s="11" t="n">
        <v>220</v>
      </c>
      <c r="F19" s="10" t="n">
        <f aca="false">D19*E19</f>
        <v>220</v>
      </c>
      <c r="G19" s="7" t="s">
        <v>42</v>
      </c>
      <c r="H19" s="8" t="s">
        <v>43</v>
      </c>
      <c r="I19" s="6" t="s">
        <v>85</v>
      </c>
      <c r="J19" s="6" t="s">
        <v>86</v>
      </c>
      <c r="K19" s="8" t="s">
        <v>87</v>
      </c>
      <c r="L19" s="8" t="s">
        <v>88</v>
      </c>
      <c r="M19" s="6" t="s">
        <v>89</v>
      </c>
    </row>
    <row r="20" customFormat="false" ht="15" hidden="false" customHeight="true" outlineLevel="0" collapsed="false">
      <c r="A20" s="6" t="s">
        <v>90</v>
      </c>
      <c r="B20" s="7" t="s">
        <v>36</v>
      </c>
      <c r="C20" s="7" t="s">
        <v>84</v>
      </c>
      <c r="D20" s="8" t="n">
        <v>1</v>
      </c>
      <c r="E20" s="11" t="n">
        <v>350</v>
      </c>
      <c r="F20" s="10" t="n">
        <f aca="false">D20*E20</f>
        <v>350</v>
      </c>
      <c r="G20" s="7" t="s">
        <v>42</v>
      </c>
      <c r="H20" s="8" t="s">
        <v>43</v>
      </c>
      <c r="I20" s="6" t="s">
        <v>91</v>
      </c>
      <c r="J20" s="6" t="s">
        <v>86</v>
      </c>
      <c r="K20" s="8" t="s">
        <v>92</v>
      </c>
      <c r="L20" s="8" t="s">
        <v>93</v>
      </c>
      <c r="M20" s="6" t="s">
        <v>94</v>
      </c>
    </row>
    <row r="21" customFormat="false" ht="23.25" hidden="false" customHeight="true" outlineLevel="0" collapsed="false">
      <c r="A21" s="6" t="s">
        <v>95</v>
      </c>
      <c r="B21" s="7" t="s">
        <v>17</v>
      </c>
      <c r="C21" s="7" t="s">
        <v>96</v>
      </c>
      <c r="D21" s="8" t="n">
        <v>1</v>
      </c>
      <c r="E21" s="11" t="n">
        <v>100</v>
      </c>
      <c r="F21" s="10" t="n">
        <f aca="false">D21*E21</f>
        <v>100</v>
      </c>
      <c r="G21" s="7" t="s">
        <v>42</v>
      </c>
      <c r="H21" s="8" t="s">
        <v>20</v>
      </c>
      <c r="I21" s="6" t="s">
        <v>97</v>
      </c>
      <c r="J21" s="6" t="s">
        <v>98</v>
      </c>
      <c r="K21" s="8" t="s">
        <v>99</v>
      </c>
      <c r="L21" s="8" t="s">
        <v>24</v>
      </c>
      <c r="M21" s="6" t="s">
        <v>100</v>
      </c>
    </row>
    <row r="22" customFormat="false" ht="15" hidden="false" customHeight="true" outlineLevel="0" collapsed="false">
      <c r="A22" s="6" t="s">
        <v>101</v>
      </c>
      <c r="B22" s="7" t="s">
        <v>36</v>
      </c>
      <c r="C22" s="7" t="s">
        <v>96</v>
      </c>
      <c r="D22" s="8" t="n">
        <v>1</v>
      </c>
      <c r="E22" s="11" t="n">
        <v>50</v>
      </c>
      <c r="F22" s="10" t="n">
        <f aca="false">D22*E22</f>
        <v>50</v>
      </c>
      <c r="G22" s="7" t="s">
        <v>42</v>
      </c>
      <c r="H22" s="8" t="s">
        <v>68</v>
      </c>
      <c r="I22" s="6" t="s">
        <v>86</v>
      </c>
      <c r="J22" s="6" t="s">
        <v>81</v>
      </c>
      <c r="K22" s="8" t="s">
        <v>102</v>
      </c>
      <c r="L22" s="8" t="s">
        <v>24</v>
      </c>
      <c r="M22" s="6" t="s">
        <v>103</v>
      </c>
    </row>
    <row r="23" customFormat="false" ht="23.25" hidden="false" customHeight="true" outlineLevel="0" collapsed="false">
      <c r="A23" s="6" t="s">
        <v>104</v>
      </c>
      <c r="B23" s="7" t="s">
        <v>36</v>
      </c>
      <c r="C23" s="7" t="s">
        <v>73</v>
      </c>
      <c r="D23" s="8" t="n">
        <v>6</v>
      </c>
      <c r="E23" s="11" t="n">
        <v>0</v>
      </c>
      <c r="F23" s="10" t="n">
        <f aca="false">D23*E23</f>
        <v>0</v>
      </c>
      <c r="G23" s="7" t="s">
        <v>105</v>
      </c>
      <c r="H23" s="8" t="s">
        <v>43</v>
      </c>
      <c r="I23" s="6" t="s">
        <v>106</v>
      </c>
      <c r="J23" s="6" t="s">
        <v>107</v>
      </c>
      <c r="K23" s="8" t="s">
        <v>78</v>
      </c>
      <c r="L23" s="8" t="s">
        <v>108</v>
      </c>
      <c r="M23" s="6" t="s">
        <v>109</v>
      </c>
    </row>
    <row r="24" customFormat="false" ht="15" hidden="false" customHeight="true" outlineLevel="0" collapsed="false">
      <c r="A24" s="6" t="s">
        <v>110</v>
      </c>
      <c r="B24" s="7" t="s">
        <v>111</v>
      </c>
      <c r="C24" s="7" t="s">
        <v>112</v>
      </c>
      <c r="D24" s="8" t="n">
        <v>1</v>
      </c>
      <c r="E24" s="11" t="n">
        <v>310</v>
      </c>
      <c r="F24" s="10" t="n">
        <f aca="false">D24*E24</f>
        <v>310</v>
      </c>
      <c r="G24" s="7" t="s">
        <v>42</v>
      </c>
      <c r="H24" s="8" t="s">
        <v>43</v>
      </c>
      <c r="I24" s="6" t="s">
        <v>86</v>
      </c>
      <c r="J24" s="6" t="s">
        <v>86</v>
      </c>
      <c r="K24" s="8" t="s">
        <v>86</v>
      </c>
      <c r="L24" s="8" t="s">
        <v>113</v>
      </c>
      <c r="M24" s="6" t="s">
        <v>114</v>
      </c>
    </row>
    <row r="25" customFormat="false" ht="15" hidden="false" customHeight="true" outlineLevel="0" collapsed="false">
      <c r="A25" s="12" t="s">
        <v>115</v>
      </c>
      <c r="B25" s="13" t="s">
        <v>36</v>
      </c>
      <c r="C25" s="13" t="s">
        <v>73</v>
      </c>
      <c r="D25" s="8" t="n">
        <v>1</v>
      </c>
      <c r="E25" s="11" t="n">
        <v>0</v>
      </c>
      <c r="F25" s="14" t="str">
        <f aca="false">IF(D25*E25=0,"",D25*E25)</f>
        <v/>
      </c>
      <c r="G25" s="13" t="s">
        <v>116</v>
      </c>
      <c r="H25" s="8" t="s">
        <v>117</v>
      </c>
      <c r="I25" s="12" t="s">
        <v>118</v>
      </c>
      <c r="J25" s="12" t="s">
        <v>119</v>
      </c>
      <c r="K25" s="8" t="s">
        <v>120</v>
      </c>
      <c r="L25" s="8" t="s">
        <v>121</v>
      </c>
      <c r="M25" s="12" t="s">
        <v>122</v>
      </c>
    </row>
    <row r="26" customFormat="false" ht="15" hidden="false" customHeight="true" outlineLevel="0" collapsed="false">
      <c r="A26" s="15"/>
      <c r="B26" s="15"/>
      <c r="C26" s="15"/>
      <c r="D26" s="15"/>
      <c r="E26" s="16"/>
      <c r="F26" s="14" t="str">
        <f aca="false">IF(D26*E26=0,"",D26*E26)</f>
        <v/>
      </c>
      <c r="G26" s="15"/>
      <c r="H26" s="15"/>
      <c r="I26" s="15"/>
      <c r="J26" s="15"/>
      <c r="K26" s="15"/>
      <c r="L26" s="15"/>
      <c r="M26" s="15"/>
    </row>
    <row r="27" customFormat="false" ht="15" hidden="false" customHeight="true" outlineLevel="0" collapsed="false">
      <c r="A27" s="15"/>
      <c r="B27" s="15"/>
      <c r="C27" s="15"/>
      <c r="D27" s="15"/>
      <c r="E27" s="16"/>
      <c r="F27" s="14" t="str">
        <f aca="false">IF(D27*E27=0,"",D27*E27)</f>
        <v/>
      </c>
      <c r="G27" s="15"/>
      <c r="H27" s="15"/>
      <c r="I27" s="15"/>
      <c r="J27" s="15"/>
      <c r="K27" s="15"/>
      <c r="L27" s="15"/>
      <c r="M27" s="15"/>
    </row>
    <row r="28" customFormat="false" ht="15" hidden="false" customHeight="true" outlineLevel="0" collapsed="false">
      <c r="A28" s="15"/>
      <c r="B28" s="15"/>
      <c r="C28" s="15"/>
      <c r="D28" s="15"/>
      <c r="E28" s="16"/>
      <c r="F28" s="14" t="str">
        <f aca="false">IF(D28*E28=0,"",D28*E28)</f>
        <v/>
      </c>
      <c r="G28" s="15"/>
      <c r="H28" s="15"/>
      <c r="I28" s="15"/>
      <c r="J28" s="15"/>
      <c r="K28" s="15"/>
      <c r="L28" s="15"/>
      <c r="M28" s="15"/>
    </row>
    <row r="29" customFormat="false" ht="15" hidden="false" customHeight="true" outlineLevel="0" collapsed="false">
      <c r="A29" s="15"/>
      <c r="B29" s="15"/>
      <c r="C29" s="15"/>
      <c r="D29" s="15"/>
      <c r="E29" s="16"/>
      <c r="F29" s="14" t="str">
        <f aca="false">IF(D29*E29=0,"",D29*E29)</f>
        <v/>
      </c>
      <c r="G29" s="15"/>
      <c r="H29" s="15"/>
      <c r="I29" s="15"/>
      <c r="J29" s="15"/>
      <c r="K29" s="15"/>
      <c r="L29" s="15"/>
      <c r="M29" s="15"/>
    </row>
    <row r="30" customFormat="false" ht="15" hidden="false" customHeight="true" outlineLevel="0" collapsed="false">
      <c r="A30" s="15"/>
      <c r="B30" s="15"/>
      <c r="C30" s="15"/>
      <c r="D30" s="15"/>
      <c r="E30" s="16"/>
      <c r="F30" s="14" t="str">
        <f aca="false">IF(D30*E30=0,"",D30*E30)</f>
        <v/>
      </c>
      <c r="G30" s="15"/>
      <c r="H30" s="15"/>
      <c r="I30" s="15"/>
      <c r="J30" s="15"/>
      <c r="K30" s="15"/>
      <c r="L30" s="15"/>
      <c r="M30" s="15"/>
    </row>
    <row r="31" customFormat="false" ht="15" hidden="false" customHeight="true" outlineLevel="0" collapsed="false">
      <c r="A31" s="15"/>
      <c r="B31" s="15"/>
      <c r="C31" s="15"/>
      <c r="D31" s="15"/>
      <c r="E31" s="16"/>
      <c r="F31" s="14" t="str">
        <f aca="false">IF(D31*E31=0,"",D31*E31)</f>
        <v/>
      </c>
      <c r="G31" s="15"/>
      <c r="H31" s="15"/>
      <c r="I31" s="15"/>
      <c r="J31" s="15"/>
      <c r="K31" s="15"/>
      <c r="L31" s="15"/>
      <c r="M31" s="15"/>
    </row>
    <row r="32" customFormat="false" ht="15" hidden="false" customHeight="true" outlineLevel="0" collapsed="false">
      <c r="A32" s="15"/>
      <c r="B32" s="15"/>
      <c r="C32" s="15"/>
      <c r="D32" s="15"/>
      <c r="E32" s="16"/>
      <c r="F32" s="14" t="str">
        <f aca="false">IF(D32*E32=0,"",D32*E32)</f>
        <v/>
      </c>
      <c r="G32" s="15"/>
      <c r="H32" s="15"/>
      <c r="I32" s="15"/>
      <c r="J32" s="15"/>
      <c r="K32" s="15"/>
      <c r="L32" s="15"/>
      <c r="M32" s="15"/>
    </row>
    <row r="33" customFormat="false" ht="15" hidden="false" customHeight="true" outlineLevel="0" collapsed="false">
      <c r="A33" s="15"/>
      <c r="B33" s="15"/>
      <c r="C33" s="15"/>
      <c r="D33" s="15"/>
      <c r="E33" s="16"/>
      <c r="F33" s="14" t="str">
        <f aca="false">IF(D33*E33=0,"",D33*E33)</f>
        <v/>
      </c>
      <c r="G33" s="15"/>
      <c r="H33" s="15"/>
      <c r="I33" s="15"/>
      <c r="J33" s="15"/>
      <c r="K33" s="15"/>
      <c r="L33" s="15"/>
      <c r="M33" s="15"/>
    </row>
    <row r="34" customFormat="false" ht="15" hidden="false" customHeight="true" outlineLevel="0" collapsed="false">
      <c r="A34" s="15"/>
      <c r="B34" s="15"/>
      <c r="C34" s="15"/>
      <c r="D34" s="15"/>
      <c r="E34" s="16"/>
      <c r="F34" s="14" t="str">
        <f aca="false">IF(D34*E34=0,"",D34*E34)</f>
        <v/>
      </c>
      <c r="G34" s="15"/>
      <c r="H34" s="15"/>
      <c r="I34" s="15"/>
      <c r="J34" s="15"/>
      <c r="K34" s="15"/>
      <c r="L34" s="15"/>
      <c r="M34" s="15"/>
    </row>
    <row r="36" customFormat="false" ht="15" hidden="false" customHeight="true" outlineLevel="0" collapsed="false">
      <c r="A36" s="17" t="s">
        <v>123</v>
      </c>
      <c r="F36" s="18" t="n">
        <f aca="false">SUM(F6:F34)</f>
        <v>3999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5" min="2" style="1" width="16"/>
  </cols>
  <sheetData>
    <row r="1" customFormat="false" ht="17.25" hidden="false" customHeight="true" outlineLevel="0" collapsed="false">
      <c r="A1" s="2" t="s">
        <v>124</v>
      </c>
    </row>
    <row r="2" customFormat="false" ht="15" hidden="false" customHeight="true" outlineLevel="0" collapsed="false">
      <c r="A2" s="3" t="s">
        <v>125</v>
      </c>
    </row>
    <row r="4" customFormat="false" ht="15" hidden="false" customHeight="true" outlineLevel="0" collapsed="false">
      <c r="B4" s="17" t="s">
        <v>126</v>
      </c>
      <c r="C4" s="19" t="n">
        <v>4000</v>
      </c>
    </row>
    <row r="6" customFormat="false" ht="15" hidden="false" customHeight="true" outlineLevel="0" collapsed="false">
      <c r="A6" s="20" t="s">
        <v>5</v>
      </c>
      <c r="B6" s="20" t="s">
        <v>127</v>
      </c>
      <c r="C6" s="20" t="s">
        <v>128</v>
      </c>
      <c r="D6" s="20" t="s">
        <v>129</v>
      </c>
      <c r="E6" s="20" t="s">
        <v>130</v>
      </c>
    </row>
    <row r="7" customFormat="false" ht="15" hidden="false" customHeight="true" outlineLevel="0" collapsed="false">
      <c r="A7" s="21" t="s">
        <v>18</v>
      </c>
      <c r="B7" s="22" t="n">
        <v>1975</v>
      </c>
      <c r="C7" s="23" t="n">
        <f aca="false">SUMIFS('Master Checklist'!$F$6:$F$34,'Master Checklist'!$C$6:$C$34,A7)</f>
        <v>1975</v>
      </c>
      <c r="D7" s="23" t="n">
        <f aca="false">B7-C7</f>
        <v>0</v>
      </c>
      <c r="E7" s="24" t="n">
        <f aca="false">B7/$C$4</f>
        <v>0.49375</v>
      </c>
    </row>
    <row r="8" customFormat="false" ht="15" hidden="false" customHeight="true" outlineLevel="0" collapsed="false">
      <c r="A8" s="21" t="s">
        <v>41</v>
      </c>
      <c r="B8" s="22" t="n">
        <v>360</v>
      </c>
      <c r="C8" s="23" t="n">
        <f aca="false">SUMIFS('Master Checklist'!$F$6:$F$34,'Master Checklist'!$C$6:$C$34,A8)</f>
        <v>359</v>
      </c>
      <c r="D8" s="23" t="n">
        <f aca="false">B8-C8</f>
        <v>1</v>
      </c>
      <c r="E8" s="24" t="n">
        <f aca="false">B8/$C$4</f>
        <v>0.09</v>
      </c>
    </row>
    <row r="9" customFormat="false" ht="15" hidden="false" customHeight="true" outlineLevel="0" collapsed="false">
      <c r="A9" s="21" t="s">
        <v>53</v>
      </c>
      <c r="B9" s="22" t="n">
        <v>400</v>
      </c>
      <c r="C9" s="23" t="n">
        <f aca="false">SUMIFS('Master Checklist'!$F$6:$F$34,'Master Checklist'!$C$6:$C$34,A9)</f>
        <v>400</v>
      </c>
      <c r="D9" s="23" t="n">
        <f aca="false">B9-C9</f>
        <v>0</v>
      </c>
      <c r="E9" s="24" t="n">
        <f aca="false">B9/$C$4</f>
        <v>0.1</v>
      </c>
    </row>
    <row r="10" customFormat="false" ht="15" hidden="false" customHeight="true" outlineLevel="0" collapsed="false">
      <c r="A10" s="21" t="s">
        <v>84</v>
      </c>
      <c r="B10" s="22" t="n">
        <v>570</v>
      </c>
      <c r="C10" s="23" t="n">
        <f aca="false">SUMIFS('Master Checklist'!$F$6:$F$34,'Master Checklist'!$C$6:$C$34,A10)</f>
        <v>570</v>
      </c>
      <c r="D10" s="23" t="n">
        <f aca="false">B10-C10</f>
        <v>0</v>
      </c>
      <c r="E10" s="24" t="n">
        <f aca="false">B10/$C$4</f>
        <v>0.1425</v>
      </c>
    </row>
    <row r="11" customFormat="false" ht="15" hidden="false" customHeight="true" outlineLevel="0" collapsed="false">
      <c r="A11" s="21" t="s">
        <v>73</v>
      </c>
      <c r="B11" s="22" t="n">
        <v>235</v>
      </c>
      <c r="C11" s="23" t="n">
        <f aca="false">SUMIFS('Master Checklist'!$F$6:$F$34,'Master Checklist'!$C$6:$C$34,A11)</f>
        <v>235</v>
      </c>
      <c r="D11" s="23" t="n">
        <f aca="false">B11-C11</f>
        <v>0</v>
      </c>
      <c r="E11" s="24" t="n">
        <f aca="false">B11/$C$4</f>
        <v>0.05875</v>
      </c>
    </row>
    <row r="12" customFormat="false" ht="15" hidden="false" customHeight="true" outlineLevel="0" collapsed="false">
      <c r="A12" s="21" t="s">
        <v>96</v>
      </c>
      <c r="B12" s="22" t="n">
        <v>150</v>
      </c>
      <c r="C12" s="23" t="n">
        <f aca="false">SUMIFS('Master Checklist'!$F$6:$F$34,'Master Checklist'!$C$6:$C$34,A12)</f>
        <v>150</v>
      </c>
      <c r="D12" s="23" t="n">
        <f aca="false">B12-C12</f>
        <v>0</v>
      </c>
      <c r="E12" s="24" t="n">
        <f aca="false">B12/$C$4</f>
        <v>0.0375</v>
      </c>
    </row>
    <row r="13" customFormat="false" ht="15" hidden="false" customHeight="true" outlineLevel="0" collapsed="false">
      <c r="A13" s="21" t="s">
        <v>112</v>
      </c>
      <c r="B13" s="22" t="n">
        <v>310</v>
      </c>
      <c r="C13" s="23" t="n">
        <f aca="false">SUMIFS('Master Checklist'!$F$6:$F$34,'Master Checklist'!$C$6:$C$34,A13)</f>
        <v>310</v>
      </c>
      <c r="D13" s="23" t="n">
        <f aca="false">B13-C13</f>
        <v>0</v>
      </c>
      <c r="E13" s="24" t="n">
        <f aca="false">B13/$C$4</f>
        <v>0.0775</v>
      </c>
    </row>
    <row r="14" customFormat="false" ht="15" hidden="false" customHeight="true" outlineLevel="0" collapsed="false">
      <c r="A14" s="25" t="s">
        <v>131</v>
      </c>
      <c r="B14" s="26" t="n">
        <f aca="false">SUM(B7:B13)</f>
        <v>4000</v>
      </c>
      <c r="C14" s="26" t="n">
        <f aca="false">SUM(C7:C13)</f>
        <v>3999</v>
      </c>
      <c r="D14" s="26" t="n">
        <f aca="false">SUM(D7:D13)</f>
        <v>1</v>
      </c>
      <c r="E14" s="27" t="n">
        <f aca="false">B14/$C$4</f>
        <v>1</v>
      </c>
    </row>
    <row r="17" customFormat="false" ht="15" hidden="false" customHeight="true" outlineLevel="0" collapsed="false">
      <c r="A17" s="28" t="s">
        <v>132</v>
      </c>
    </row>
    <row r="18" customFormat="false" ht="15" hidden="false" customHeight="true" outlineLevel="0" collapsed="false">
      <c r="A18" s="21" t="s">
        <v>133</v>
      </c>
      <c r="C18" s="23" t="n">
        <f aca="false">SUMIFS('Master Checklist'!$F$6:$F$34,'Master Checklist'!$G$6:$G$34,"Cash")</f>
        <v>2024</v>
      </c>
    </row>
    <row r="19" customFormat="false" ht="15" hidden="false" customHeight="true" outlineLevel="0" collapsed="false">
      <c r="A19" s="21" t="s">
        <v>134</v>
      </c>
      <c r="C19" s="23" t="n">
        <f aca="false">SUMIFS('Master Checklist'!$F$6:$F$34,'Master Checklist'!$G$6:$G$34,"Inventory COGS")</f>
        <v>1975</v>
      </c>
    </row>
    <row r="20" customFormat="false" ht="15" hidden="false" customHeight="true" outlineLevel="0" collapsed="false">
      <c r="A20" s="21" t="s">
        <v>135</v>
      </c>
      <c r="C20" s="23" t="n">
        <f aca="false">SUMIFS('Master Checklist'!$F$6:$F$34,'Master Checklist'!$G$6:$G$34,"Existing stock")</f>
        <v>0</v>
      </c>
    </row>
    <row r="21" customFormat="false" ht="15" hidden="false" customHeight="true" outlineLevel="0" collapsed="false">
      <c r="A21" s="3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54"/>
  </cols>
  <sheetData>
    <row r="1" customFormat="false" ht="17.35" hidden="false" customHeight="false" outlineLevel="0" collapsed="false">
      <c r="A1" s="29" t="s">
        <v>137</v>
      </c>
    </row>
    <row r="3" customFormat="false" ht="15" hidden="false" customHeight="false" outlineLevel="0" collapsed="false">
      <c r="A3" s="30" t="s">
        <v>138</v>
      </c>
      <c r="B3" s="31"/>
      <c r="C3" s="31"/>
      <c r="D3" s="31"/>
    </row>
    <row r="4" customFormat="false" ht="15" hidden="false" customHeight="false" outlineLevel="0" collapsed="false">
      <c r="A4" s="32" t="s">
        <v>139</v>
      </c>
      <c r="B4" s="32" t="s">
        <v>140</v>
      </c>
      <c r="C4" s="32" t="s">
        <v>10</v>
      </c>
      <c r="D4" s="32" t="s">
        <v>141</v>
      </c>
    </row>
    <row r="5" customFormat="false" ht="23.85" hidden="false" customHeight="false" outlineLevel="0" collapsed="false">
      <c r="A5" s="13" t="s">
        <v>142</v>
      </c>
      <c r="B5" s="13" t="s">
        <v>143</v>
      </c>
      <c r="C5" s="13" t="s">
        <v>43</v>
      </c>
      <c r="D5" s="12" t="s">
        <v>144</v>
      </c>
    </row>
    <row r="6" customFormat="false" ht="15" hidden="false" customHeight="false" outlineLevel="0" collapsed="false">
      <c r="A6" s="13" t="s">
        <v>142</v>
      </c>
      <c r="B6" s="13" t="s">
        <v>145</v>
      </c>
      <c r="C6" s="13" t="s">
        <v>29</v>
      </c>
      <c r="D6" s="12" t="s">
        <v>146</v>
      </c>
    </row>
    <row r="7" customFormat="false" ht="15" hidden="false" customHeight="false" outlineLevel="0" collapsed="false">
      <c r="A7" s="13" t="s">
        <v>142</v>
      </c>
      <c r="B7" s="13" t="s">
        <v>147</v>
      </c>
      <c r="C7" s="13" t="s">
        <v>43</v>
      </c>
      <c r="D7" s="12" t="s">
        <v>148</v>
      </c>
    </row>
    <row r="8" customFormat="false" ht="15" hidden="false" customHeight="false" outlineLevel="0" collapsed="false">
      <c r="A8" s="13" t="s">
        <v>149</v>
      </c>
      <c r="B8" s="13" t="s">
        <v>150</v>
      </c>
      <c r="C8" s="13" t="s">
        <v>29</v>
      </c>
      <c r="D8" s="12"/>
    </row>
    <row r="9" customFormat="false" ht="23.85" hidden="false" customHeight="false" outlineLevel="0" collapsed="false">
      <c r="A9" s="13" t="s">
        <v>151</v>
      </c>
      <c r="B9" s="13" t="s">
        <v>152</v>
      </c>
      <c r="C9" s="13" t="s">
        <v>43</v>
      </c>
      <c r="D9" s="12" t="s">
        <v>153</v>
      </c>
    </row>
    <row r="10" customFormat="false" ht="15" hidden="false" customHeight="false" outlineLevel="0" collapsed="false">
      <c r="A10" s="13" t="s">
        <v>154</v>
      </c>
      <c r="B10" s="13" t="s">
        <v>155</v>
      </c>
      <c r="C10" s="13" t="s">
        <v>43</v>
      </c>
      <c r="D10" s="12" t="s">
        <v>156</v>
      </c>
    </row>
    <row r="11" customFormat="false" ht="15" hidden="false" customHeight="false" outlineLevel="0" collapsed="false">
      <c r="A11" s="13" t="s">
        <v>154</v>
      </c>
      <c r="B11" s="13" t="s">
        <v>157</v>
      </c>
      <c r="C11" s="13" t="s">
        <v>43</v>
      </c>
      <c r="D11" s="12" t="s">
        <v>158</v>
      </c>
    </row>
    <row r="12" customFormat="false" ht="15" hidden="false" customHeight="false" outlineLevel="0" collapsed="false">
      <c r="A12" s="13" t="s">
        <v>159</v>
      </c>
      <c r="B12" s="13" t="s">
        <v>160</v>
      </c>
      <c r="C12" s="13" t="s">
        <v>43</v>
      </c>
      <c r="D12" s="12" t="s">
        <v>161</v>
      </c>
    </row>
    <row r="13" customFormat="false" ht="15" hidden="false" customHeight="false" outlineLevel="0" collapsed="false">
      <c r="A13" s="13" t="s">
        <v>162</v>
      </c>
      <c r="B13" s="13" t="s">
        <v>163</v>
      </c>
      <c r="C13" s="13" t="s">
        <v>20</v>
      </c>
      <c r="D13" s="12" t="s">
        <v>164</v>
      </c>
    </row>
    <row r="14" customFormat="false" ht="15" hidden="false" customHeight="false" outlineLevel="0" collapsed="false">
      <c r="A14" s="13" t="s">
        <v>165</v>
      </c>
      <c r="B14" s="13" t="s">
        <v>166</v>
      </c>
      <c r="C14" s="13" t="s">
        <v>49</v>
      </c>
      <c r="D14" s="12"/>
    </row>
    <row r="15" customFormat="false" ht="15" hidden="false" customHeight="false" outlineLevel="0" collapsed="false">
      <c r="A15" s="13" t="s">
        <v>167</v>
      </c>
      <c r="B15" s="13" t="s">
        <v>168</v>
      </c>
      <c r="C15" s="13" t="s">
        <v>68</v>
      </c>
      <c r="D15" s="12"/>
    </row>
    <row r="16" customFormat="false" ht="15" hidden="false" customHeight="false" outlineLevel="0" collapsed="false">
      <c r="A16" s="13" t="s">
        <v>169</v>
      </c>
      <c r="B16" s="13" t="s">
        <v>170</v>
      </c>
      <c r="C16" s="13" t="s">
        <v>171</v>
      </c>
      <c r="D16" s="12"/>
    </row>
    <row r="17" customFormat="false" ht="15" hidden="false" customHeight="false" outlineLevel="0" collapsed="false">
      <c r="A17" s="13" t="s">
        <v>82</v>
      </c>
      <c r="B17" s="13" t="s">
        <v>172</v>
      </c>
      <c r="C17" s="13" t="s">
        <v>49</v>
      </c>
      <c r="D17" s="12"/>
    </row>
    <row r="18" customFormat="false" ht="15" hidden="false" customHeight="false" outlineLevel="0" collapsed="false">
      <c r="A18" s="13" t="s">
        <v>78</v>
      </c>
      <c r="B18" s="13" t="s">
        <v>173</v>
      </c>
      <c r="C18" s="13" t="s">
        <v>171</v>
      </c>
      <c r="D18" s="12" t="s">
        <v>174</v>
      </c>
    </row>
    <row r="19" customFormat="false" ht="15" hidden="false" customHeight="false" outlineLevel="0" collapsed="false">
      <c r="A19" s="13" t="s">
        <v>175</v>
      </c>
      <c r="B19" s="13" t="s">
        <v>176</v>
      </c>
      <c r="C19" s="13" t="s">
        <v>171</v>
      </c>
      <c r="D19" s="12"/>
    </row>
    <row r="20" customFormat="false" ht="15" hidden="false" customHeight="false" outlineLevel="0" collapsed="false">
      <c r="A20" s="13" t="s">
        <v>177</v>
      </c>
      <c r="B20" s="13" t="s">
        <v>178</v>
      </c>
      <c r="C20" s="13" t="s">
        <v>43</v>
      </c>
      <c r="D20" s="12"/>
    </row>
    <row r="22" customFormat="false" ht="15" hidden="false" customHeight="false" outlineLevel="0" collapsed="false">
      <c r="A22" s="30" t="s">
        <v>179</v>
      </c>
      <c r="B22" s="31"/>
      <c r="C22" s="31"/>
      <c r="D22" s="31"/>
    </row>
    <row r="23" customFormat="false" ht="15" hidden="false" customHeight="false" outlineLevel="0" collapsed="false">
      <c r="A23" s="32" t="s">
        <v>180</v>
      </c>
      <c r="B23" s="32" t="s">
        <v>181</v>
      </c>
      <c r="C23" s="32" t="s">
        <v>182</v>
      </c>
      <c r="D23" s="32" t="s">
        <v>15</v>
      </c>
    </row>
    <row r="24" customFormat="false" ht="15" hidden="false" customHeight="false" outlineLevel="0" collapsed="false">
      <c r="A24" s="13" t="s">
        <v>183</v>
      </c>
      <c r="B24" s="13" t="s">
        <v>184</v>
      </c>
      <c r="C24" s="13" t="s">
        <v>185</v>
      </c>
      <c r="D24" s="12" t="s">
        <v>186</v>
      </c>
    </row>
    <row r="25" customFormat="false" ht="23.85" hidden="false" customHeight="false" outlineLevel="0" collapsed="false">
      <c r="A25" s="13" t="s">
        <v>187</v>
      </c>
      <c r="B25" s="13" t="s">
        <v>188</v>
      </c>
      <c r="C25" s="13" t="s">
        <v>189</v>
      </c>
      <c r="D25" s="12" t="s">
        <v>190</v>
      </c>
    </row>
    <row r="26" customFormat="false" ht="15" hidden="false" customHeight="false" outlineLevel="0" collapsed="false">
      <c r="A26" s="13" t="s">
        <v>191</v>
      </c>
      <c r="B26" s="13" t="s">
        <v>192</v>
      </c>
      <c r="C26" s="13" t="s">
        <v>193</v>
      </c>
      <c r="D26" s="12" t="s">
        <v>194</v>
      </c>
    </row>
    <row r="27" customFormat="false" ht="15" hidden="false" customHeight="false" outlineLevel="0" collapsed="false">
      <c r="A27" s="13" t="s">
        <v>195</v>
      </c>
      <c r="B27" s="13" t="s">
        <v>196</v>
      </c>
      <c r="C27" s="13" t="s">
        <v>171</v>
      </c>
      <c r="D27" s="12" t="s">
        <v>197</v>
      </c>
    </row>
    <row r="28" customFormat="false" ht="15" hidden="false" customHeight="false" outlineLevel="0" collapsed="false">
      <c r="A28" s="13" t="s">
        <v>198</v>
      </c>
      <c r="B28" s="13" t="s">
        <v>199</v>
      </c>
      <c r="C28" s="13" t="s">
        <v>200</v>
      </c>
      <c r="D28" s="12" t="s">
        <v>201</v>
      </c>
    </row>
    <row r="30" customFormat="false" ht="15" hidden="false" customHeight="false" outlineLevel="0" collapsed="false">
      <c r="A30" s="30" t="s">
        <v>202</v>
      </c>
      <c r="B30" s="31"/>
      <c r="C30" s="31"/>
      <c r="D30" s="31"/>
    </row>
    <row r="31" customFormat="false" ht="15" hidden="false" customHeight="false" outlineLevel="0" collapsed="false">
      <c r="A31" s="32" t="s">
        <v>203</v>
      </c>
      <c r="B31" s="32" t="s">
        <v>204</v>
      </c>
      <c r="C31" s="32" t="s">
        <v>205</v>
      </c>
      <c r="D31" s="32" t="s">
        <v>15</v>
      </c>
    </row>
    <row r="32" customFormat="false" ht="15" hidden="false" customHeight="false" outlineLevel="0" collapsed="false">
      <c r="A32" s="13" t="s">
        <v>206</v>
      </c>
      <c r="B32" s="13" t="s">
        <v>207</v>
      </c>
      <c r="C32" s="13" t="s">
        <v>208</v>
      </c>
      <c r="D32" s="12" t="s">
        <v>209</v>
      </c>
    </row>
    <row r="33" customFormat="false" ht="15" hidden="false" customHeight="false" outlineLevel="0" collapsed="false">
      <c r="A33" s="13" t="s">
        <v>210</v>
      </c>
      <c r="B33" s="13" t="s">
        <v>211</v>
      </c>
      <c r="C33" s="13" t="s">
        <v>208</v>
      </c>
      <c r="D33" s="12" t="s">
        <v>212</v>
      </c>
    </row>
    <row r="34" customFormat="false" ht="15" hidden="false" customHeight="false" outlineLevel="0" collapsed="false">
      <c r="A34" s="13" t="s">
        <v>68</v>
      </c>
      <c r="B34" s="13" t="s">
        <v>213</v>
      </c>
      <c r="C34" s="13" t="s">
        <v>208</v>
      </c>
      <c r="D34" s="12" t="s">
        <v>214</v>
      </c>
    </row>
    <row r="35" customFormat="false" ht="15" hidden="false" customHeight="false" outlineLevel="0" collapsed="false">
      <c r="A35" s="13" t="s">
        <v>215</v>
      </c>
      <c r="B35" s="13" t="s">
        <v>216</v>
      </c>
      <c r="C35" s="13" t="s">
        <v>217</v>
      </c>
      <c r="D35" s="12" t="s">
        <v>218</v>
      </c>
    </row>
    <row r="36" customFormat="false" ht="15" hidden="false" customHeight="false" outlineLevel="0" collapsed="false">
      <c r="A36" s="13" t="s">
        <v>219</v>
      </c>
      <c r="B36" s="13" t="s">
        <v>220</v>
      </c>
      <c r="C36" s="13" t="s">
        <v>221</v>
      </c>
      <c r="D36" s="12" t="s">
        <v>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58"/>
    <col collapsed="false" customWidth="true" hidden="false" outlineLevel="0" max="3" min="3" style="1" width="22"/>
    <col collapsed="false" customWidth="true" hidden="false" outlineLevel="0" max="4" min="4" style="1" width="30"/>
  </cols>
  <sheetData>
    <row r="1" customFormat="false" ht="17.25" hidden="false" customHeight="true" outlineLevel="0" collapsed="false">
      <c r="A1" s="2" t="s">
        <v>223</v>
      </c>
    </row>
    <row r="3" customFormat="false" ht="15" hidden="false" customHeight="true" outlineLevel="0" collapsed="false">
      <c r="A3" s="33" t="s">
        <v>224</v>
      </c>
      <c r="B3" s="34"/>
      <c r="C3" s="34"/>
      <c r="D3" s="34"/>
    </row>
    <row r="4" customFormat="false" ht="15" hidden="false" customHeight="true" outlineLevel="0" collapsed="false">
      <c r="A4" s="35" t="s">
        <v>225</v>
      </c>
      <c r="B4" s="35" t="s">
        <v>226</v>
      </c>
      <c r="C4" s="35" t="s">
        <v>10</v>
      </c>
      <c r="D4" s="35" t="s">
        <v>227</v>
      </c>
    </row>
    <row r="5" customFormat="false" ht="23.25" hidden="false" customHeight="true" outlineLevel="0" collapsed="false">
      <c r="A5" s="7" t="s">
        <v>228</v>
      </c>
      <c r="B5" s="6" t="s">
        <v>229</v>
      </c>
      <c r="C5" s="7" t="s">
        <v>43</v>
      </c>
      <c r="D5" s="6" t="s">
        <v>230</v>
      </c>
    </row>
    <row r="6" customFormat="false" ht="23.25" hidden="false" customHeight="true" outlineLevel="0" collapsed="false">
      <c r="A6" s="7" t="s">
        <v>231</v>
      </c>
      <c r="B6" s="6" t="s">
        <v>232</v>
      </c>
      <c r="C6" s="7" t="s">
        <v>43</v>
      </c>
      <c r="D6" s="6" t="s">
        <v>233</v>
      </c>
    </row>
    <row r="7" customFormat="false" ht="23.25" hidden="false" customHeight="true" outlineLevel="0" collapsed="false">
      <c r="A7" s="7" t="s">
        <v>234</v>
      </c>
      <c r="B7" s="6" t="s">
        <v>235</v>
      </c>
      <c r="C7" s="7" t="s">
        <v>236</v>
      </c>
      <c r="D7" s="6" t="s">
        <v>237</v>
      </c>
    </row>
    <row r="8" customFormat="false" ht="15" hidden="false" customHeight="true" outlineLevel="0" collapsed="false">
      <c r="A8" s="7" t="s">
        <v>238</v>
      </c>
      <c r="B8" s="6" t="s">
        <v>239</v>
      </c>
      <c r="C8" s="7" t="s">
        <v>240</v>
      </c>
      <c r="D8" s="6" t="s">
        <v>241</v>
      </c>
    </row>
    <row r="9" customFormat="false" ht="23.25" hidden="false" customHeight="true" outlineLevel="0" collapsed="false">
      <c r="A9" s="7" t="s">
        <v>242</v>
      </c>
      <c r="B9" s="6" t="s">
        <v>243</v>
      </c>
      <c r="C9" s="7" t="s">
        <v>20</v>
      </c>
      <c r="D9" s="6" t="s">
        <v>244</v>
      </c>
    </row>
    <row r="11" customFormat="false" ht="15" hidden="false" customHeight="true" outlineLevel="0" collapsed="false">
      <c r="A11" s="33" t="s">
        <v>245</v>
      </c>
      <c r="B11" s="34"/>
      <c r="C11" s="34"/>
      <c r="D11" s="34"/>
    </row>
    <row r="12" customFormat="false" ht="15" hidden="false" customHeight="true" outlineLevel="0" collapsed="false">
      <c r="A12" s="35" t="s">
        <v>246</v>
      </c>
      <c r="B12" s="35" t="s">
        <v>247</v>
      </c>
      <c r="C12" s="35" t="s">
        <v>248</v>
      </c>
      <c r="D12" s="35" t="s">
        <v>249</v>
      </c>
    </row>
    <row r="13" customFormat="false" ht="23.25" hidden="false" customHeight="true" outlineLevel="0" collapsed="false">
      <c r="A13" s="6" t="s">
        <v>250</v>
      </c>
      <c r="B13" s="7" t="s">
        <v>251</v>
      </c>
      <c r="C13" s="7" t="s">
        <v>252</v>
      </c>
      <c r="D13" s="6" t="s">
        <v>253</v>
      </c>
    </row>
    <row r="14" customFormat="false" ht="15" hidden="false" customHeight="true" outlineLevel="0" collapsed="false">
      <c r="A14" s="6" t="s">
        <v>254</v>
      </c>
      <c r="B14" s="7" t="s">
        <v>255</v>
      </c>
      <c r="C14" s="7" t="s">
        <v>256</v>
      </c>
      <c r="D14" s="6" t="s">
        <v>257</v>
      </c>
    </row>
    <row r="15" customFormat="false" ht="15" hidden="false" customHeight="true" outlineLevel="0" collapsed="false">
      <c r="A15" s="6" t="s">
        <v>258</v>
      </c>
      <c r="B15" s="7" t="s">
        <v>259</v>
      </c>
      <c r="C15" s="7" t="s">
        <v>260</v>
      </c>
      <c r="D15" s="6" t="s">
        <v>261</v>
      </c>
    </row>
    <row r="16" customFormat="false" ht="23.25" hidden="false" customHeight="true" outlineLevel="0" collapsed="false">
      <c r="A16" s="6" t="s">
        <v>262</v>
      </c>
      <c r="B16" s="7" t="s">
        <v>263</v>
      </c>
      <c r="C16" s="7" t="s">
        <v>264</v>
      </c>
      <c r="D16" s="6" t="s">
        <v>265</v>
      </c>
    </row>
    <row r="17" customFormat="false" ht="15" hidden="false" customHeight="true" outlineLevel="0" collapsed="false">
      <c r="A17" s="6" t="s">
        <v>266</v>
      </c>
      <c r="B17" s="7" t="s">
        <v>267</v>
      </c>
      <c r="C17" s="7" t="s">
        <v>268</v>
      </c>
      <c r="D17" s="6" t="s">
        <v>269</v>
      </c>
    </row>
    <row r="18" customFormat="false" ht="15" hidden="false" customHeight="true" outlineLevel="0" collapsed="false">
      <c r="A18" s="6" t="s">
        <v>270</v>
      </c>
      <c r="B18" s="7" t="s">
        <v>271</v>
      </c>
      <c r="C18" s="7" t="s">
        <v>272</v>
      </c>
      <c r="D18" s="6" t="s">
        <v>273</v>
      </c>
    </row>
    <row r="19" customFormat="false" ht="23.25" hidden="false" customHeight="true" outlineLevel="0" collapsed="false">
      <c r="A19" s="6" t="s">
        <v>274</v>
      </c>
      <c r="B19" s="7" t="s">
        <v>275</v>
      </c>
      <c r="C19" s="7" t="s">
        <v>276</v>
      </c>
      <c r="D19" s="6" t="s">
        <v>277</v>
      </c>
    </row>
    <row r="21" customFormat="false" ht="15" hidden="false" customHeight="true" outlineLevel="0" collapsed="false">
      <c r="A21" s="33" t="s">
        <v>278</v>
      </c>
      <c r="B21" s="34"/>
      <c r="C21" s="34"/>
      <c r="D21" s="34"/>
    </row>
    <row r="22" customFormat="false" ht="15" hidden="false" customHeight="true" outlineLevel="0" collapsed="false">
      <c r="A22" s="35" t="s">
        <v>279</v>
      </c>
      <c r="B22" s="35" t="s">
        <v>141</v>
      </c>
      <c r="C22" s="35" t="s">
        <v>10</v>
      </c>
      <c r="D22" s="35" t="s">
        <v>13</v>
      </c>
    </row>
    <row r="23" customFormat="false" ht="15" hidden="false" customHeight="true" outlineLevel="0" collapsed="false">
      <c r="A23" s="7" t="s">
        <v>280</v>
      </c>
      <c r="B23" s="6" t="s">
        <v>281</v>
      </c>
      <c r="C23" s="7" t="s">
        <v>282</v>
      </c>
      <c r="D23" s="7" t="s">
        <v>283</v>
      </c>
    </row>
    <row r="24" customFormat="false" ht="15" hidden="false" customHeight="true" outlineLevel="0" collapsed="false">
      <c r="A24" s="7" t="s">
        <v>284</v>
      </c>
      <c r="B24" s="6" t="s">
        <v>285</v>
      </c>
      <c r="C24" s="7" t="s">
        <v>282</v>
      </c>
      <c r="D24" s="7" t="s">
        <v>286</v>
      </c>
    </row>
    <row r="25" customFormat="false" ht="15" hidden="false" customHeight="true" outlineLevel="0" collapsed="false">
      <c r="A25" s="7" t="s">
        <v>287</v>
      </c>
      <c r="B25" s="6" t="s">
        <v>288</v>
      </c>
      <c r="C25" s="7" t="s">
        <v>43</v>
      </c>
      <c r="D25" s="7" t="s">
        <v>289</v>
      </c>
    </row>
    <row r="26" customFormat="false" ht="15" hidden="false" customHeight="true" outlineLevel="0" collapsed="false">
      <c r="A26" s="7" t="s">
        <v>290</v>
      </c>
      <c r="B26" s="6" t="s">
        <v>291</v>
      </c>
      <c r="C26" s="7" t="s">
        <v>43</v>
      </c>
      <c r="D26" s="7" t="s">
        <v>292</v>
      </c>
    </row>
    <row r="27" customFormat="false" ht="15" hidden="false" customHeight="true" outlineLevel="0" collapsed="false">
      <c r="A27" s="7" t="s">
        <v>293</v>
      </c>
      <c r="B27" s="6" t="s">
        <v>294</v>
      </c>
      <c r="C27" s="7" t="s">
        <v>282</v>
      </c>
      <c r="D27" s="7" t="s">
        <v>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2026-07-17T08:48:04Z</dcterms:created>
  <dc:creator>openpyxl</dc:creator>
  <dc:description/>
  <dc:language>en-US</dc:language>
  <cp:lastModifiedBy/>
  <dcterms:modified xsi:type="dcterms:W3CDTF">2026-07-18T13:20:45Z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