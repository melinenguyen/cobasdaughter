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hecklist" sheetId="1" state="visible" r:id="rId3"/>
    <sheet name="Budget $4K" sheetId="2" state="visible" r:id="rId4"/>
    <sheet name="Event Ops" sheetId="3" state="visible" r:id="rId5"/>
    <sheet name="Marketing Captu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<sst xmlns="http://schemas.openxmlformats.org/spreadsheetml/2006/main" count="428" uniqueCount="291">
  <si>
    <t xml:space="preserve">CôBa's Daughter × Glossy — September 2026 Master Checklist</t>
  </si>
  <si>
    <t xml:space="preserve">Two events: Glossy Pop NYC gift bags (Sep 11, FIT) + Glossy Campus Game Day booth, UT Austin (Sep 12). All costs are estimates — confirm before ordering.</t>
  </si>
  <si>
    <t xml:space="preserve">LEGEND — blue text: editable inputs (qty, unit cost, owner, dates). Yellow fill: placeholder to confirm (Buyer/Finance/Glossy). Black: formulas, do not type over. Add rows in the spare section; Total column recalculates.</t>
  </si>
  <si>
    <t xml:space="preserve">Item</t>
  </si>
  <si>
    <t xml:space="preserve">Event</t>
  </si>
  <si>
    <t xml:space="preserve">Category</t>
  </si>
  <si>
    <t xml:space="preserve">Qty</t>
  </si>
  <si>
    <t xml:space="preserve">Unit Cost ($)</t>
  </si>
  <si>
    <t xml:space="preserve">Total ($)</t>
  </si>
  <si>
    <t xml:space="preserve">Cost Type</t>
  </si>
  <si>
    <t xml:space="preserve">Owner</t>
  </si>
  <si>
    <t xml:space="preserve">Source / Vendor</t>
  </si>
  <si>
    <t xml:space="preserve">Delivery Route</t>
  </si>
  <si>
    <t xml:space="preserve">Due</t>
  </si>
  <si>
    <t xml:space="preserve">Status</t>
  </si>
  <si>
    <t xml:space="preserve">Notes</t>
  </si>
  <si>
    <t xml:space="preserve">Miniset — current version (Plan B)</t>
  </si>
  <si>
    <t xml:space="preserve">NYC Pop</t>
  </si>
  <si>
    <t xml:space="preserve">Product</t>
  </si>
  <si>
    <t xml:space="preserve">Inventory COGS</t>
  </si>
  <si>
    <t xml:space="preserve">Head of Products</t>
  </si>
  <si>
    <t xml:space="preserve">Amazon AWD warehouse</t>
  </si>
  <si>
    <t xml:space="preserve">AWD removal → NYC helper address</t>
  </si>
  <si>
    <t xml:space="preserve">Aug 22</t>
  </si>
  <si>
    <t xml:space="preserve">Not started</t>
  </si>
  <si>
    <t xml:space="preserve">Unit cost = placeholder COGS, Finance to confirm. Superseded if Plan A miniset lands in time.</t>
  </si>
  <si>
    <t xml:space="preserve">Aloe Gel full-size (Plan B, gift bags)</t>
  </si>
  <si>
    <t xml:space="preserve">Placeholder COGS. Pairs with current miniset under Plan B.</t>
  </si>
  <si>
    <t xml:space="preserve">NEW miniset w/ loofah scrub (Plan A)</t>
  </si>
  <si>
    <t xml:space="preserve">Buyer team</t>
  </si>
  <si>
    <t xml:space="preserve">VN production</t>
  </si>
  <si>
    <t xml:space="preserve">Sea/air → NYC (gate: must land by Sep 4)</t>
  </si>
  <si>
    <t xml:space="preserve">Jul 24 gate</t>
  </si>
  <si>
    <t xml:space="preserve">Awaiting Buyer</t>
  </si>
  <si>
    <t xml:space="preserve">GATE: Buyer lead-time answer by Jul 24. If landed-by-Sep-4 impossible → execute Plan B rows above. Unit cost TBD.</t>
  </si>
  <si>
    <t xml:space="preserve">Aloe Gel full-size (game-day gifts)</t>
  </si>
  <si>
    <t xml:space="preserve">Game Day</t>
  </si>
  <si>
    <t xml:space="preserve">AWD removal → Austin house</t>
  </si>
  <si>
    <t xml:space="preserve">Aug 29</t>
  </si>
  <si>
    <t xml:space="preserve">Post-and-tag reward, capped/day. Placeholder COGS.</t>
  </si>
  <si>
    <t xml:space="preserve">Canvas drawstring bag, logo 1-color print</t>
  </si>
  <si>
    <t xml:space="preserve">Packaging</t>
  </si>
  <si>
    <t xml:space="preserve">Cash</t>
  </si>
  <si>
    <t xml:space="preserve">Brand Director</t>
  </si>
  <si>
    <t xml:space="preserve">US promo supplier (4imprint / Totally Promotional)</t>
  </si>
  <si>
    <t xml:space="preserve">US ship → NYC helper</t>
  </si>
  <si>
    <t xml:space="preserve">Aug 28</t>
  </si>
  <si>
    <t xml:space="preserve">100 bags + 10 spares. Get 2 quotes; US supplier only (no intl lead-time risk).</t>
  </si>
  <si>
    <t xml:space="preserve">Tissue paper + ribbon fillers</t>
  </si>
  <si>
    <t xml:space="preserve">NYC helper</t>
  </si>
  <si>
    <t xml:space="preserve">Amazon US</t>
  </si>
  <si>
    <t xml:space="preserve">Brand-adjacent colors: cream / kraft.</t>
  </si>
  <si>
    <t xml:space="preserve">Voucher booklet (perforated, binder-style)</t>
  </si>
  <si>
    <t xml:space="preserve">Printing</t>
  </si>
  <si>
    <t xml:space="preserve">US print (Vistaprint / local NYC)</t>
  </si>
  <si>
    <t xml:space="preserve">Unique codes per booklet if possible → per-bag attribution.</t>
  </si>
  <si>
    <t xml:space="preserve">Brand book, compact print</t>
  </si>
  <si>
    <t xml:space="preserve">US print OR handcarry (Sao &amp; Eva)</t>
  </si>
  <si>
    <t xml:space="preserve">US ship or handcarry</t>
  </si>
  <si>
    <t xml:space="preserve">Sep 8</t>
  </si>
  <si>
    <t xml:space="preserve">Compare: US print vs VN print + handcarry. Handcarry saves cash but adds luggage.</t>
  </si>
  <si>
    <t xml:space="preserve">Fortune ticket cards (quẻ), 500 pcs</t>
  </si>
  <si>
    <t xml:space="preserve">Brand Director + Emma</t>
  </si>
  <si>
    <t xml:space="preserve">Austin print shop</t>
  </si>
  <si>
    <t xml:space="preserve">Local pickup (Emma)</t>
  </si>
  <si>
    <t xml:space="preserve">Sep 5</t>
  </si>
  <si>
    <t xml:space="preserve">Western 'lucky ticket' design; voucher QR on back. Includes ~30 fortune texts.</t>
  </si>
  <si>
    <t xml:space="preserve">Numbered fortune sticks (craft dowels + numbering)</t>
  </si>
  <si>
    <t xml:space="preserve">Emma</t>
  </si>
  <si>
    <t xml:space="preserve">Craft store Austin + DIY numbering</t>
  </si>
  <si>
    <t xml:space="preserve">Local (Emma)</t>
  </si>
  <si>
    <t xml:space="preserve">Wood craft dowels; number stamp or burnt-orange dip ends.</t>
  </si>
  <si>
    <t xml:space="preserve">Easels for brand panels</t>
  </si>
  <si>
    <t xml:space="preserve">Booth &amp; Ops</t>
  </si>
  <si>
    <t xml:space="preserve">US ship → Austin house</t>
  </si>
  <si>
    <t xml:space="preserve">Reusable for every future US event.</t>
  </si>
  <si>
    <t xml:space="preserve">Cooler + ice + sanitary supplies</t>
  </si>
  <si>
    <t xml:space="preserve">HEB / local</t>
  </si>
  <si>
    <t xml:space="preserve">Sep 11</t>
  </si>
  <si>
    <t xml:space="preserve">Chilled aloe demo + cold towels.</t>
  </si>
  <si>
    <t xml:space="preserve">Booth misc (linens, tape, batteries, signage stands)</t>
  </si>
  <si>
    <t xml:space="preserve">Local</t>
  </si>
  <si>
    <t xml:space="preserve">Sep 10</t>
  </si>
  <si>
    <t xml:space="preserve">NYC helper — assembly + delivery to FIT</t>
  </si>
  <si>
    <t xml:space="preserve">Labor</t>
  </si>
  <si>
    <t xml:space="preserve">TaskRabbit / referral (hire by Aug 15)</t>
  </si>
  <si>
    <t xml:space="preserve">—</t>
  </si>
  <si>
    <t xml:space="preserve">Sep 9–10 work</t>
  </si>
  <si>
    <t xml:space="preserve">Not hired</t>
  </si>
  <si>
    <t xml:space="preserve">1 day assembly + drop at FIT per Glossy load-in instructions. Different person from Emma.</t>
  </si>
  <si>
    <t xml:space="preserve">Emma — Austin prep + event day</t>
  </si>
  <si>
    <t xml:space="preserve">Rehire (May event)</t>
  </si>
  <si>
    <t xml:space="preserve">Sep 10–12 work</t>
  </si>
  <si>
    <t xml:space="preserve">To confirm</t>
  </si>
  <si>
    <t xml:space="preserve">Prep day (sticks, cards, kit assembly) + full event day.</t>
  </si>
  <si>
    <t xml:space="preserve">Parcels &amp; AWD removal fees → NYC</t>
  </si>
  <si>
    <t xml:space="preserve">Logistics</t>
  </si>
  <si>
    <t xml:space="preserve">Amazon AWD + UPS/USPS</t>
  </si>
  <si>
    <t xml:space="preserve">US only</t>
  </si>
  <si>
    <t xml:space="preserve">Aug 22–28</t>
  </si>
  <si>
    <t xml:space="preserve">No international shipping. Handcarry (Sao &amp; Eva) covers small/premium items only.</t>
  </si>
  <si>
    <t xml:space="preserve">Austin local transport &amp; stock moves</t>
  </si>
  <si>
    <t xml:space="preserve">Sep 10–12</t>
  </si>
  <si>
    <t xml:space="preserve">Austin house → campus load-in.</t>
  </si>
  <si>
    <t xml:space="preserve">Creator gifting kits (existing merch)</t>
  </si>
  <si>
    <t xml:space="preserve">Existing stock</t>
  </si>
  <si>
    <t xml:space="preserve">Austin house stock (rattan bags, scarves, fans)</t>
  </si>
  <si>
    <t xml:space="preserve">Already in Austin</t>
  </si>
  <si>
    <t xml:space="preserve">Planned</t>
  </si>
  <si>
    <t xml:space="preserve">$0 cash — rattan bags ×6, scarves, fans, brand books from existing stock.</t>
  </si>
  <si>
    <t xml:space="preserve">Contingency reserve</t>
  </si>
  <si>
    <t xml:space="preserve">Both</t>
  </si>
  <si>
    <t xml:space="preserve">Contingency</t>
  </si>
  <si>
    <t xml:space="preserve">Reserved</t>
  </si>
  <si>
    <t xml:space="preserve">~8% buffer for quote overruns / reprints / extra bags.</t>
  </si>
  <si>
    <t xml:space="preserve">TOTAL (all rows incl. additions)</t>
  </si>
  <si>
    <t xml:space="preserve">Budget Allocation — Total $4,000 (both events)</t>
  </si>
  <si>
    <t xml:space="preserve">Estimated pulls live from Master Checklist (SUMIFS by Category). Allocations in blue are the plan — edit to reallocate; Remaining shows headroom.</t>
  </si>
  <si>
    <t xml:space="preserve">TOTAL BUDGET</t>
  </si>
  <si>
    <t xml:space="preserve">Allocated ($)</t>
  </si>
  <si>
    <t xml:space="preserve">Estimated ($, live)</t>
  </si>
  <si>
    <t xml:space="preserve">Remaining ($)</t>
  </si>
  <si>
    <t xml:space="preserve">% of budget</t>
  </si>
  <si>
    <t xml:space="preserve">TOTAL</t>
  </si>
  <si>
    <t xml:space="preserve">View: cash out-of-pocket vs inventory</t>
  </si>
  <si>
    <t xml:space="preserve">Cash out-of-pocket</t>
  </si>
  <si>
    <t xml:space="preserve">Inventory COGS (from AWD stock)</t>
  </si>
  <si>
    <t xml:space="preserve">Existing stock (zero cost)</t>
  </si>
  <si>
    <t xml:space="preserve">Note: if the BOD treats AWD product as inventory (not event cash), the cash ask is ~$2.0K of the $4.0K envelope.</t>
  </si>
  <si>
    <t xml:space="preserve">Event Operations — run-of-show &amp; prep timeline</t>
  </si>
  <si>
    <t xml:space="preserve">PREP TIMELINE (both events)</t>
  </si>
  <si>
    <t xml:space="preserve">Week / Date</t>
  </si>
  <si>
    <t xml:space="preserve">Milestone</t>
  </si>
  <si>
    <t xml:space="preserve">Detail</t>
  </si>
  <si>
    <t xml:space="preserve">W Jul 20</t>
  </si>
  <si>
    <t xml:space="preserve">Buyer lead-time answer — new miniset w/ loofah (GATE)</t>
  </si>
  <si>
    <t xml:space="preserve">Decides Plan A vs Plan B for NYC bags. Must land NYC by Sep 4 to qualify.</t>
  </si>
  <si>
    <t xml:space="preserve">Confirm bag count with Glossy (NYC) + booth specs with Dylan (Austin)</t>
  </si>
  <si>
    <t xml:space="preserve">Bag qty drives product order; ask Glossy for load-in instructions at FIT.</t>
  </si>
  <si>
    <t xml:space="preserve">W Jul 24</t>
  </si>
  <si>
    <t xml:space="preserve">Buyer confirms silk scarf qty (Austin creator kits)</t>
  </si>
  <si>
    <t xml:space="preserve">W Jul 27</t>
  </si>
  <si>
    <t xml:space="preserve">Fortune texts written (~30) + ticket card design; voucher booklet design</t>
  </si>
  <si>
    <t xml:space="preserve">Reuse brand templates; Western 'lucky ticket' layout.</t>
  </si>
  <si>
    <t xml:space="preserve">W Aug 3</t>
  </si>
  <si>
    <t xml:space="preserve">Order: drawstring bags, voucher booklets; Klaviyo/Shopify codes (GLOSSYPOP / GAMEDAY tags)</t>
  </si>
  <si>
    <t xml:space="preserve">Clone Endless Summer flow; unique codes if budget allows.</t>
  </si>
  <si>
    <t xml:space="preserve">W Aug 10</t>
  </si>
  <si>
    <t xml:space="preserve">Hire NYC helper (by Aug 15); creators booked via Glossy roster</t>
  </si>
  <si>
    <t xml:space="preserve">NYC helper ≠ Emma; brief with photo guide for assembly.</t>
  </si>
  <si>
    <t xml:space="preserve">W Aug 17</t>
  </si>
  <si>
    <t xml:space="preserve">AWD removal orders placed (NYC 100+100, Austin 50)</t>
  </si>
  <si>
    <t xml:space="preserve">Allow 1–2 weeks AWD processing + transit.</t>
  </si>
  <si>
    <t xml:space="preserve">W Aug 24</t>
  </si>
  <si>
    <t xml:space="preserve">All NYC components at helper's address; test-assemble 1 bag, photo-approve</t>
  </si>
  <si>
    <t xml:space="preserve">Checklist per bag: miniset (+aloe if Plan B), voucher booklet, brand book, tissue.</t>
  </si>
  <si>
    <t xml:space="preserve">W Sep 1</t>
  </si>
  <si>
    <t xml:space="preserve">Austin print pickup; sticks numbered; Emma dry-run of fortune table</t>
  </si>
  <si>
    <t xml:space="preserve">Sep 8–10</t>
  </si>
  <si>
    <t xml:space="preserve">Sao &amp; Eva arrive (handcarry: brand books/premium small items); NYC bags assembled Sep 9–10</t>
  </si>
  <si>
    <t xml:space="preserve">All</t>
  </si>
  <si>
    <t xml:space="preserve">Handcarry = US-entry personal luggage only, no intl freight.</t>
  </si>
  <si>
    <t xml:space="preserve">NYC: bags delivered to FIT per Glossy instructions</t>
  </si>
  <si>
    <t xml:space="preserve">Get signed receipt + photos for report.</t>
  </si>
  <si>
    <t xml:space="preserve">Glossy Pop NYC (FIT) — bags distributed by Glossy; team is in Austin</t>
  </si>
  <si>
    <t xml:space="preserve">Glossy</t>
  </si>
  <si>
    <t xml:space="preserve">No staffing needed on site.</t>
  </si>
  <si>
    <t xml:space="preserve">Austin booth load-in prep + Emma brief + kit assembly</t>
  </si>
  <si>
    <t xml:space="preserve">Per Dylan's load-in window.</t>
  </si>
  <si>
    <t xml:space="preserve">Sep 12</t>
  </si>
  <si>
    <t xml:space="preserve">GAME DAY — booth from College GameDay morning through 6:30 PM kickoff</t>
  </si>
  <si>
    <t xml:space="preserve">Run-of-show below.</t>
  </si>
  <si>
    <t xml:space="preserve">Sep 13</t>
  </si>
  <si>
    <t xml:space="preserve">Debrief; content offload; voucher redemption tracking begins (thru Sep 30)</t>
  </si>
  <si>
    <t xml:space="preserve">GAME DAY RUN-OF-SHOW — Sep 12, UT Austin</t>
  </si>
  <si>
    <t xml:space="preserve">Time (CT)</t>
  </si>
  <si>
    <t xml:space="preserve">Station / Activity</t>
  </si>
  <si>
    <t xml:space="preserve">Who</t>
  </si>
  <si>
    <t xml:space="preserve">07:30–09:00</t>
  </si>
  <si>
    <t xml:space="preserve">Load-in, booth build (panels, lanterns, fortune table, aloe cooler)</t>
  </si>
  <si>
    <t xml:space="preserve">All 4</t>
  </si>
  <si>
    <t xml:space="preserve">Per Dylan's window; photos of build for content.</t>
  </si>
  <si>
    <t xml:space="preserve">09:00–12:00</t>
  </si>
  <si>
    <t xml:space="preserve">College GameDay crowd — fortune draws open; founder 'come with me' reel</t>
  </si>
  <si>
    <t xml:space="preserve">Emma (fortune) · Sao (content)</t>
  </si>
  <si>
    <t xml:space="preserve">Content check-in every hour.</t>
  </si>
  <si>
    <t xml:space="preserve">12:00–15:00</t>
  </si>
  <si>
    <t xml:space="preserve">Peak heat — chilled aloe demos + fans; creators visit booth</t>
  </si>
  <si>
    <t xml:space="preserve">Eva (aloe) · Sao (creators)</t>
  </si>
  <si>
    <t xml:space="preserve">Creators shoot at lantern corner; kits handed.</t>
  </si>
  <si>
    <t xml:space="preserve">15:00–18:00</t>
  </si>
  <si>
    <t xml:space="preserve">Golden hour — lantern photo corner peak; hourly scarf draw</t>
  </si>
  <si>
    <t xml:space="preserve">Best light for UGC; announce draws to hold crowd.</t>
  </si>
  <si>
    <t xml:space="preserve">18:00–18:30</t>
  </si>
  <si>
    <t xml:space="preserve">Pre-kickoff push — last draws, aloe gifts for tagged posts</t>
  </si>
  <si>
    <t xml:space="preserve">Cap check on aloe stock.</t>
  </si>
  <si>
    <t xml:space="preserve">18:30+</t>
  </si>
  <si>
    <t xml:space="preserve">Teardown OR stay through game per Dylan's schedule</t>
  </si>
  <si>
    <t xml:space="preserve">Emma + helper hands</t>
  </si>
  <si>
    <t xml:space="preserve">Inventory count → report.</t>
  </si>
  <si>
    <t xml:space="preserve">ROLES</t>
  </si>
  <si>
    <t xml:space="preserve">Person</t>
  </si>
  <si>
    <t xml:space="preserve">Role</t>
  </si>
  <si>
    <t xml:space="preserve">Where</t>
  </si>
  <si>
    <t xml:space="preserve">Sao</t>
  </si>
  <si>
    <t xml:space="preserve">Founder face, creator hosting, content lead</t>
  </si>
  <si>
    <t xml:space="preserve">Austin</t>
  </si>
  <si>
    <t xml:space="preserve">Handcarry premium small items from VN.</t>
  </si>
  <si>
    <t xml:space="preserve">Eva</t>
  </si>
  <si>
    <t xml:space="preserve">Aloe station + ops support</t>
  </si>
  <si>
    <t xml:space="preserve">Handcarry partner with Sao.</t>
  </si>
  <si>
    <t xml:space="preserve">Fortune table, prep, logistics (Austin)</t>
  </si>
  <si>
    <t xml:space="preserve">Rehired from May event.</t>
  </si>
  <si>
    <t xml:space="preserve">NYC helper (hire by Aug 15)</t>
  </si>
  <si>
    <t xml:space="preserve">Gift bag assembly + FIT delivery</t>
  </si>
  <si>
    <t xml:space="preserve">NYC</t>
  </si>
  <si>
    <t xml:space="preserve">Independent hire; photo-guided assembly brief.</t>
  </si>
  <si>
    <t xml:space="preserve">Dylan (Glossy)</t>
  </si>
  <si>
    <t xml:space="preserve">Booth PIC — specs, load-in, creator roster</t>
  </si>
  <si>
    <t xml:space="preserve">All booth design decisions confirmed with him.</t>
  </si>
  <si>
    <t xml:space="preserve">Marketing Capture Plan — make both events work online</t>
  </si>
  <si>
    <t xml:space="preserve">TRACKING SETUP (before Aug 15)</t>
  </si>
  <si>
    <t xml:space="preserve">Mechanism</t>
  </si>
  <si>
    <t xml:space="preserve">How</t>
  </si>
  <si>
    <t xml:space="preserve">KPI</t>
  </si>
  <si>
    <t xml:space="preserve">Voucher codes — NYC</t>
  </si>
  <si>
    <t xml:space="preserve">Booklet code(s) scoped + tagged 'glossypop' in Shopify; unique per booklet if print allows</t>
  </si>
  <si>
    <t xml:space="preserve">Redemptions by Sep 30</t>
  </si>
  <si>
    <t xml:space="preserve">Voucher QR — Game Day</t>
  </si>
  <si>
    <t xml:space="preserve">Ticket-card QR → Klaviyo signup → single-use 15–20% code tagged 'gameday'</t>
  </si>
  <si>
    <t xml:space="preserve">250–400 emails; redemptions</t>
  </si>
  <si>
    <t xml:space="preserve">UGC loop — Game Day</t>
  </si>
  <si>
    <t xml:space="preserve">Draw quẻ → photo at lantern corner → post IG + tag @cobasdaughter → Aloe Gel gift</t>
  </si>
  <si>
    <t xml:space="preserve">Emma enforces at booth</t>
  </si>
  <si>
    <t xml:space="preserve">60–80 tagged posts/stories</t>
  </si>
  <si>
    <t xml:space="preserve">Hashtag &amp; mentions</t>
  </si>
  <si>
    <t xml:space="preserve">#cobasdaughter monitored during Sep 11–14; reshare best to stories</t>
  </si>
  <si>
    <t xml:space="preserve">Brand team VN</t>
  </si>
  <si>
    <t xml:space="preserve">Mentions lift vs Aug baseline</t>
  </si>
  <si>
    <t xml:space="preserve">Amazon branded search</t>
  </si>
  <si>
    <t xml:space="preserve">Watch branded-search trend Sep 12–30 (May event precedent: +327% w/ SB)</t>
  </si>
  <si>
    <t xml:space="preserve">Branded search lift</t>
  </si>
  <si>
    <t xml:space="preserve">CONTENT SHOT LIST — Game Day (owner: Sao)</t>
  </si>
  <si>
    <t xml:space="preserve">Asset</t>
  </si>
  <si>
    <t xml:space="preserve">Format</t>
  </si>
  <si>
    <t xml:space="preserve">When</t>
  </si>
  <si>
    <t xml:space="preserve">Destination</t>
  </si>
  <si>
    <t xml:space="preserve">Founder 'come with me to game day' reel</t>
  </si>
  <si>
    <t xml:space="preserve">IG reel 30–60s</t>
  </si>
  <si>
    <t xml:space="preserve">Morning → dusk arc</t>
  </si>
  <si>
    <t xml:space="preserve">IG + TikTok (150.7K-view format from June)</t>
  </si>
  <si>
    <t xml:space="preserve">Booth build timelapse</t>
  </si>
  <si>
    <t xml:space="preserve">Reel/story</t>
  </si>
  <si>
    <t xml:space="preserve">Stories + report</t>
  </si>
  <si>
    <t xml:space="preserve">Fortune draw reactions ×10+</t>
  </si>
  <si>
    <t xml:space="preserve">Short clips</t>
  </si>
  <si>
    <t xml:space="preserve">All day</t>
  </si>
  <si>
    <t xml:space="preserve">Ad engine (tracker1) + organic</t>
  </si>
  <si>
    <t xml:space="preserve">Aloe relief POV ('watch them cool down')</t>
  </si>
  <si>
    <t xml:space="preserve">Reel</t>
  </si>
  <si>
    <t xml:space="preserve">Peak heat 12–15h</t>
  </si>
  <si>
    <t xml:space="preserve">Ads + organic</t>
  </si>
  <si>
    <t xml:space="preserve">Lantern corner golden-hour set</t>
  </si>
  <si>
    <t xml:space="preserve">Photos + b-roll</t>
  </si>
  <si>
    <t xml:space="preserve">17–18:30</t>
  </si>
  <si>
    <t xml:space="preserve">Brand library + Q3 report</t>
  </si>
  <si>
    <t xml:space="preserve">Creator visits + kit unboxings</t>
  </si>
  <si>
    <t xml:space="preserve">Creator-owned</t>
  </si>
  <si>
    <t xml:space="preserve">Scheduled slots</t>
  </si>
  <si>
    <t xml:space="preserve">Whitelist best into Spark/Meta</t>
  </si>
  <si>
    <t xml:space="preserve">NYC: bag assembly + FIT drop-off photos</t>
  </si>
  <si>
    <t xml:space="preserve">Photos</t>
  </si>
  <si>
    <t xml:space="preserve">Sep 9–10</t>
  </si>
  <si>
    <t xml:space="preserve">Recap post + BOD report</t>
  </si>
  <si>
    <t xml:space="preserve">POST-EVENT (Sep 13–30)</t>
  </si>
  <si>
    <t xml:space="preserve">Action</t>
  </si>
  <si>
    <t xml:space="preserve">Content offload → calendar</t>
  </si>
  <si>
    <t xml:space="preserve">40–60 clips → 4–6 weeks organic + ad engine</t>
  </si>
  <si>
    <t xml:space="preserve">Brand team</t>
  </si>
  <si>
    <t xml:space="preserve">Sep 15</t>
  </si>
  <si>
    <t xml:space="preserve">Reshare + whitelist UGC</t>
  </si>
  <si>
    <t xml:space="preserve">Best tagged posts → stories; top creators → Spark Ads</t>
  </si>
  <si>
    <t xml:space="preserve">Sep 20</t>
  </si>
  <si>
    <t xml:space="preserve">Redemption + email report</t>
  </si>
  <si>
    <t xml:space="preserve">glossypop / gameday code redemptions + Klaviyo list growth</t>
  </si>
  <si>
    <t xml:space="preserve">Oct 2</t>
  </si>
  <si>
    <t xml:space="preserve">Q3 report event section</t>
  </si>
  <si>
    <t xml:space="preserve">Reuse May 'growth after the event' framing</t>
  </si>
  <si>
    <t xml:space="preserve">Oct</t>
  </si>
  <si>
    <t xml:space="preserve">Q4 gifting segue</t>
  </si>
  <si>
    <t xml:space="preserve">Voucher validity ends Sep 30 → retarget into Q4 'Thoughtful Gifting'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</si>
</sst>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\$#,##0;&quot;($&quot;#,##0\);\-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13F2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713F2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713F2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13F21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EFE4D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E4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13F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23.85" hidden="false" customHeight="false" outlineLevel="0" collapsed="false">
      <c r="A6" s="5" t="s">
        <v>16</v>
      </c>
      <c r="B6" s="6" t="s">
        <v>17</v>
      </c>
      <c r="C6" s="6" t="s">
        <v>18</v>
      </c>
      <c r="D6" s="7" t="n">
        <v>100</v>
      </c>
      <c r="E6" s="8" t="n">
        <v>7</v>
      </c>
      <c r="F6" s="9" t="n">
        <f aca="false">D6*E6</f>
        <v>700</v>
      </c>
      <c r="G6" s="6" t="s">
        <v>19</v>
      </c>
      <c r="H6" s="7" t="s">
        <v>20</v>
      </c>
      <c r="I6" s="5" t="s">
        <v>21</v>
      </c>
      <c r="J6" s="5" t="s">
        <v>22</v>
      </c>
      <c r="K6" s="7" t="s">
        <v>23</v>
      </c>
      <c r="L6" s="7" t="s">
        <v>24</v>
      </c>
      <c r="M6" s="5" t="s">
        <v>25</v>
      </c>
    </row>
    <row r="7" customFormat="false" ht="23.85" hidden="false" customHeight="false" outlineLevel="0" collapsed="false">
      <c r="A7" s="5" t="s">
        <v>26</v>
      </c>
      <c r="B7" s="6" t="s">
        <v>17</v>
      </c>
      <c r="C7" s="6" t="s">
        <v>18</v>
      </c>
      <c r="D7" s="7" t="n">
        <v>100</v>
      </c>
      <c r="E7" s="8" t="n">
        <v>8.5</v>
      </c>
      <c r="F7" s="9" t="n">
        <f aca="false">D7*E7</f>
        <v>850</v>
      </c>
      <c r="G7" s="6" t="s">
        <v>19</v>
      </c>
      <c r="H7" s="7" t="s">
        <v>20</v>
      </c>
      <c r="I7" s="5" t="s">
        <v>21</v>
      </c>
      <c r="J7" s="5" t="s">
        <v>22</v>
      </c>
      <c r="K7" s="7" t="s">
        <v>23</v>
      </c>
      <c r="L7" s="7" t="s">
        <v>24</v>
      </c>
      <c r="M7" s="5" t="s">
        <v>27</v>
      </c>
    </row>
    <row r="8" customFormat="false" ht="35.05" hidden="false" customHeight="false" outlineLevel="0" collapsed="false">
      <c r="A8" s="5" t="s">
        <v>28</v>
      </c>
      <c r="B8" s="6" t="s">
        <v>17</v>
      </c>
      <c r="C8" s="6" t="s">
        <v>18</v>
      </c>
      <c r="D8" s="7" t="n">
        <v>100</v>
      </c>
      <c r="E8" s="8" t="n">
        <v>0</v>
      </c>
      <c r="F8" s="9" t="n">
        <f aca="false">D8*E8</f>
        <v>0</v>
      </c>
      <c r="G8" s="6" t="s">
        <v>19</v>
      </c>
      <c r="H8" s="7" t="s">
        <v>29</v>
      </c>
      <c r="I8" s="5" t="s">
        <v>30</v>
      </c>
      <c r="J8" s="5" t="s">
        <v>31</v>
      </c>
      <c r="K8" s="7" t="s">
        <v>32</v>
      </c>
      <c r="L8" s="7" t="s">
        <v>33</v>
      </c>
      <c r="M8" s="5" t="s">
        <v>34</v>
      </c>
    </row>
    <row r="9" customFormat="false" ht="15" hidden="false" customHeight="false" outlineLevel="0" collapsed="false">
      <c r="A9" s="5" t="s">
        <v>35</v>
      </c>
      <c r="B9" s="6" t="s">
        <v>36</v>
      </c>
      <c r="C9" s="6" t="s">
        <v>18</v>
      </c>
      <c r="D9" s="7" t="n">
        <v>50</v>
      </c>
      <c r="E9" s="8" t="n">
        <v>8.5</v>
      </c>
      <c r="F9" s="9" t="n">
        <f aca="false">D9*E9</f>
        <v>425</v>
      </c>
      <c r="G9" s="6" t="s">
        <v>19</v>
      </c>
      <c r="H9" s="7" t="s">
        <v>20</v>
      </c>
      <c r="I9" s="5" t="s">
        <v>21</v>
      </c>
      <c r="J9" s="5" t="s">
        <v>37</v>
      </c>
      <c r="K9" s="7" t="s">
        <v>38</v>
      </c>
      <c r="L9" s="7" t="s">
        <v>24</v>
      </c>
      <c r="M9" s="5" t="s">
        <v>39</v>
      </c>
    </row>
    <row r="10" customFormat="false" ht="35.05" hidden="false" customHeight="false" outlineLevel="0" collapsed="false">
      <c r="A10" s="5" t="s">
        <v>40</v>
      </c>
      <c r="B10" s="6" t="s">
        <v>17</v>
      </c>
      <c r="C10" s="6" t="s">
        <v>41</v>
      </c>
      <c r="D10" s="7" t="n">
        <v>110</v>
      </c>
      <c r="E10" s="10" t="n">
        <v>2.9</v>
      </c>
      <c r="F10" s="9" t="n">
        <f aca="false">D10*E10</f>
        <v>319</v>
      </c>
      <c r="G10" s="6" t="s">
        <v>42</v>
      </c>
      <c r="H10" s="7" t="s">
        <v>43</v>
      </c>
      <c r="I10" s="5" t="s">
        <v>44</v>
      </c>
      <c r="J10" s="5" t="s">
        <v>45</v>
      </c>
      <c r="K10" s="7" t="s">
        <v>46</v>
      </c>
      <c r="L10" s="7" t="s">
        <v>24</v>
      </c>
      <c r="M10" s="5" t="s">
        <v>47</v>
      </c>
    </row>
    <row r="11" customFormat="false" ht="15" hidden="false" customHeight="false" outlineLevel="0" collapsed="false">
      <c r="A11" s="5" t="s">
        <v>48</v>
      </c>
      <c r="B11" s="6" t="s">
        <v>17</v>
      </c>
      <c r="C11" s="6" t="s">
        <v>41</v>
      </c>
      <c r="D11" s="7" t="n">
        <v>1</v>
      </c>
      <c r="E11" s="10" t="n">
        <v>40</v>
      </c>
      <c r="F11" s="9" t="n">
        <f aca="false">D11*E11</f>
        <v>40</v>
      </c>
      <c r="G11" s="6" t="s">
        <v>42</v>
      </c>
      <c r="H11" s="7" t="s">
        <v>49</v>
      </c>
      <c r="I11" s="5" t="s">
        <v>50</v>
      </c>
      <c r="J11" s="5" t="s">
        <v>45</v>
      </c>
      <c r="K11" s="7" t="s">
        <v>46</v>
      </c>
      <c r="L11" s="7" t="s">
        <v>24</v>
      </c>
      <c r="M11" s="5" t="s">
        <v>51</v>
      </c>
    </row>
    <row r="12" customFormat="false" ht="23.85" hidden="false" customHeight="false" outlineLevel="0" collapsed="false">
      <c r="A12" s="5" t="s">
        <v>52</v>
      </c>
      <c r="B12" s="6" t="s">
        <v>17</v>
      </c>
      <c r="C12" s="6" t="s">
        <v>53</v>
      </c>
      <c r="D12" s="7" t="n">
        <v>100</v>
      </c>
      <c r="E12" s="10" t="n">
        <v>1.7</v>
      </c>
      <c r="F12" s="9" t="n">
        <f aca="false">D12*E12</f>
        <v>170</v>
      </c>
      <c r="G12" s="6" t="s">
        <v>42</v>
      </c>
      <c r="H12" s="7" t="s">
        <v>43</v>
      </c>
      <c r="I12" s="5" t="s">
        <v>54</v>
      </c>
      <c r="J12" s="5" t="s">
        <v>45</v>
      </c>
      <c r="K12" s="7" t="s">
        <v>46</v>
      </c>
      <c r="L12" s="7" t="s">
        <v>24</v>
      </c>
      <c r="M12" s="5" t="s">
        <v>55</v>
      </c>
    </row>
    <row r="13" customFormat="false" ht="23.85" hidden="false" customHeight="false" outlineLevel="0" collapsed="false">
      <c r="A13" s="5" t="s">
        <v>56</v>
      </c>
      <c r="B13" s="6" t="s">
        <v>17</v>
      </c>
      <c r="C13" s="6" t="s">
        <v>53</v>
      </c>
      <c r="D13" s="7" t="n">
        <v>100</v>
      </c>
      <c r="E13" s="10" t="n">
        <v>1</v>
      </c>
      <c r="F13" s="9" t="n">
        <f aca="false">D13*E13</f>
        <v>100</v>
      </c>
      <c r="G13" s="6" t="s">
        <v>42</v>
      </c>
      <c r="H13" s="7" t="s">
        <v>43</v>
      </c>
      <c r="I13" s="5" t="s">
        <v>57</v>
      </c>
      <c r="J13" s="5" t="s">
        <v>58</v>
      </c>
      <c r="K13" s="7" t="s">
        <v>59</v>
      </c>
      <c r="L13" s="7" t="s">
        <v>24</v>
      </c>
      <c r="M13" s="5" t="s">
        <v>60</v>
      </c>
    </row>
    <row r="14" customFormat="false" ht="23.85" hidden="false" customHeight="false" outlineLevel="0" collapsed="false">
      <c r="A14" s="5" t="s">
        <v>61</v>
      </c>
      <c r="B14" s="6" t="s">
        <v>36</v>
      </c>
      <c r="C14" s="6" t="s">
        <v>53</v>
      </c>
      <c r="D14" s="7" t="n">
        <v>1</v>
      </c>
      <c r="E14" s="10" t="n">
        <v>90</v>
      </c>
      <c r="F14" s="9" t="n">
        <f aca="false">D14*E14</f>
        <v>90</v>
      </c>
      <c r="G14" s="6" t="s">
        <v>42</v>
      </c>
      <c r="H14" s="7" t="s">
        <v>62</v>
      </c>
      <c r="I14" s="5" t="s">
        <v>63</v>
      </c>
      <c r="J14" s="5" t="s">
        <v>64</v>
      </c>
      <c r="K14" s="7" t="s">
        <v>65</v>
      </c>
      <c r="L14" s="7" t="s">
        <v>24</v>
      </c>
      <c r="M14" s="5" t="s">
        <v>66</v>
      </c>
    </row>
    <row r="15" customFormat="false" ht="23.85" hidden="false" customHeight="false" outlineLevel="0" collapsed="false">
      <c r="A15" s="5" t="s">
        <v>67</v>
      </c>
      <c r="B15" s="6" t="s">
        <v>36</v>
      </c>
      <c r="C15" s="6" t="s">
        <v>53</v>
      </c>
      <c r="D15" s="7" t="n">
        <v>100</v>
      </c>
      <c r="E15" s="10" t="n">
        <v>0.4</v>
      </c>
      <c r="F15" s="9" t="n">
        <f aca="false">D15*E15</f>
        <v>40</v>
      </c>
      <c r="G15" s="6" t="s">
        <v>42</v>
      </c>
      <c r="H15" s="7" t="s">
        <v>68</v>
      </c>
      <c r="I15" s="5" t="s">
        <v>69</v>
      </c>
      <c r="J15" s="5" t="s">
        <v>70</v>
      </c>
      <c r="K15" s="7" t="s">
        <v>65</v>
      </c>
      <c r="L15" s="7" t="s">
        <v>24</v>
      </c>
      <c r="M15" s="5" t="s">
        <v>71</v>
      </c>
    </row>
    <row r="16" customFormat="false" ht="15" hidden="false" customHeight="false" outlineLevel="0" collapsed="false">
      <c r="A16" s="5" t="s">
        <v>72</v>
      </c>
      <c r="B16" s="6" t="s">
        <v>36</v>
      </c>
      <c r="C16" s="6" t="s">
        <v>73</v>
      </c>
      <c r="D16" s="7" t="n">
        <v>7</v>
      </c>
      <c r="E16" s="10" t="n">
        <v>15</v>
      </c>
      <c r="F16" s="9" t="n">
        <f aca="false">D16*E16</f>
        <v>105</v>
      </c>
      <c r="G16" s="6" t="s">
        <v>42</v>
      </c>
      <c r="H16" s="7" t="s">
        <v>68</v>
      </c>
      <c r="I16" s="5" t="s">
        <v>50</v>
      </c>
      <c r="J16" s="5" t="s">
        <v>74</v>
      </c>
      <c r="K16" s="7" t="s">
        <v>59</v>
      </c>
      <c r="L16" s="7" t="s">
        <v>24</v>
      </c>
      <c r="M16" s="5" t="s">
        <v>75</v>
      </c>
    </row>
    <row r="17" customFormat="false" ht="15" hidden="false" customHeight="false" outlineLevel="0" collapsed="false">
      <c r="A17" s="5" t="s">
        <v>76</v>
      </c>
      <c r="B17" s="6" t="s">
        <v>36</v>
      </c>
      <c r="C17" s="6" t="s">
        <v>73</v>
      </c>
      <c r="D17" s="7" t="n">
        <v>1</v>
      </c>
      <c r="E17" s="10" t="n">
        <v>80</v>
      </c>
      <c r="F17" s="9" t="n">
        <f aca="false">D17*E17</f>
        <v>80</v>
      </c>
      <c r="G17" s="6" t="s">
        <v>42</v>
      </c>
      <c r="H17" s="7" t="s">
        <v>68</v>
      </c>
      <c r="I17" s="5" t="s">
        <v>77</v>
      </c>
      <c r="J17" s="5" t="s">
        <v>70</v>
      </c>
      <c r="K17" s="7" t="s">
        <v>78</v>
      </c>
      <c r="L17" s="7" t="s">
        <v>24</v>
      </c>
      <c r="M17" s="5" t="s">
        <v>79</v>
      </c>
    </row>
    <row r="18" customFormat="false" ht="23.85" hidden="false" customHeight="false" outlineLevel="0" collapsed="false">
      <c r="A18" s="5" t="s">
        <v>80</v>
      </c>
      <c r="B18" s="6" t="s">
        <v>36</v>
      </c>
      <c r="C18" s="6" t="s">
        <v>73</v>
      </c>
      <c r="D18" s="7" t="n">
        <v>1</v>
      </c>
      <c r="E18" s="10" t="n">
        <v>50</v>
      </c>
      <c r="F18" s="9" t="n">
        <f aca="false">D18*E18</f>
        <v>50</v>
      </c>
      <c r="G18" s="6" t="s">
        <v>42</v>
      </c>
      <c r="H18" s="7" t="s">
        <v>68</v>
      </c>
      <c r="I18" s="5" t="s">
        <v>81</v>
      </c>
      <c r="J18" s="5" t="s">
        <v>70</v>
      </c>
      <c r="K18" s="7" t="s">
        <v>82</v>
      </c>
      <c r="L18" s="7" t="s">
        <v>24</v>
      </c>
      <c r="M18" s="5"/>
    </row>
    <row r="19" customFormat="false" ht="23.85" hidden="false" customHeight="false" outlineLevel="0" collapsed="false">
      <c r="A19" s="5" t="s">
        <v>83</v>
      </c>
      <c r="B19" s="6" t="s">
        <v>17</v>
      </c>
      <c r="C19" s="6" t="s">
        <v>84</v>
      </c>
      <c r="D19" s="7" t="n">
        <v>1</v>
      </c>
      <c r="E19" s="10" t="n">
        <v>220</v>
      </c>
      <c r="F19" s="9" t="n">
        <f aca="false">D19*E19</f>
        <v>220</v>
      </c>
      <c r="G19" s="6" t="s">
        <v>42</v>
      </c>
      <c r="H19" s="7" t="s">
        <v>43</v>
      </c>
      <c r="I19" s="5" t="s">
        <v>85</v>
      </c>
      <c r="J19" s="5" t="s">
        <v>86</v>
      </c>
      <c r="K19" s="7" t="s">
        <v>87</v>
      </c>
      <c r="L19" s="7" t="s">
        <v>88</v>
      </c>
      <c r="M19" s="5" t="s">
        <v>89</v>
      </c>
    </row>
    <row r="20" customFormat="false" ht="15" hidden="false" customHeight="false" outlineLevel="0" collapsed="false">
      <c r="A20" s="5" t="s">
        <v>90</v>
      </c>
      <c r="B20" s="6" t="s">
        <v>36</v>
      </c>
      <c r="C20" s="6" t="s">
        <v>84</v>
      </c>
      <c r="D20" s="7" t="n">
        <v>1</v>
      </c>
      <c r="E20" s="10" t="n">
        <v>350</v>
      </c>
      <c r="F20" s="9" t="n">
        <f aca="false">D20*E20</f>
        <v>350</v>
      </c>
      <c r="G20" s="6" t="s">
        <v>42</v>
      </c>
      <c r="H20" s="7" t="s">
        <v>43</v>
      </c>
      <c r="I20" s="5" t="s">
        <v>91</v>
      </c>
      <c r="J20" s="5" t="s">
        <v>86</v>
      </c>
      <c r="K20" s="7" t="s">
        <v>92</v>
      </c>
      <c r="L20" s="7" t="s">
        <v>93</v>
      </c>
      <c r="M20" s="5" t="s">
        <v>94</v>
      </c>
    </row>
    <row r="21" customFormat="false" ht="23.85" hidden="false" customHeight="false" outlineLevel="0" collapsed="false">
      <c r="A21" s="5" t="s">
        <v>95</v>
      </c>
      <c r="B21" s="6" t="s">
        <v>17</v>
      </c>
      <c r="C21" s="6" t="s">
        <v>96</v>
      </c>
      <c r="D21" s="7" t="n">
        <v>1</v>
      </c>
      <c r="E21" s="10" t="n">
        <v>100</v>
      </c>
      <c r="F21" s="9" t="n">
        <f aca="false">D21*E21</f>
        <v>100</v>
      </c>
      <c r="G21" s="6" t="s">
        <v>42</v>
      </c>
      <c r="H21" s="7" t="s">
        <v>20</v>
      </c>
      <c r="I21" s="5" t="s">
        <v>97</v>
      </c>
      <c r="J21" s="5" t="s">
        <v>98</v>
      </c>
      <c r="K21" s="7" t="s">
        <v>99</v>
      </c>
      <c r="L21" s="7" t="s">
        <v>24</v>
      </c>
      <c r="M21" s="5" t="s">
        <v>100</v>
      </c>
    </row>
    <row r="22" customFormat="false" ht="15" hidden="false" customHeight="false" outlineLevel="0" collapsed="false">
      <c r="A22" s="5" t="s">
        <v>101</v>
      </c>
      <c r="B22" s="6" t="s">
        <v>36</v>
      </c>
      <c r="C22" s="6" t="s">
        <v>96</v>
      </c>
      <c r="D22" s="7" t="n">
        <v>1</v>
      </c>
      <c r="E22" s="10" t="n">
        <v>50</v>
      </c>
      <c r="F22" s="9" t="n">
        <f aca="false">D22*E22</f>
        <v>50</v>
      </c>
      <c r="G22" s="6" t="s">
        <v>42</v>
      </c>
      <c r="H22" s="7" t="s">
        <v>68</v>
      </c>
      <c r="I22" s="5" t="s">
        <v>86</v>
      </c>
      <c r="J22" s="5" t="s">
        <v>81</v>
      </c>
      <c r="K22" s="7" t="s">
        <v>102</v>
      </c>
      <c r="L22" s="7" t="s">
        <v>24</v>
      </c>
      <c r="M22" s="5" t="s">
        <v>103</v>
      </c>
    </row>
    <row r="23" customFormat="false" ht="23.85" hidden="false" customHeight="false" outlineLevel="0" collapsed="false">
      <c r="A23" s="5" t="s">
        <v>104</v>
      </c>
      <c r="B23" s="6" t="s">
        <v>36</v>
      </c>
      <c r="C23" s="6" t="s">
        <v>73</v>
      </c>
      <c r="D23" s="7" t="n">
        <v>6</v>
      </c>
      <c r="E23" s="10" t="n">
        <v>0</v>
      </c>
      <c r="F23" s="9" t="n">
        <f aca="false">D23*E23</f>
        <v>0</v>
      </c>
      <c r="G23" s="6" t="s">
        <v>105</v>
      </c>
      <c r="H23" s="7" t="s">
        <v>43</v>
      </c>
      <c r="I23" s="5" t="s">
        <v>106</v>
      </c>
      <c r="J23" s="5" t="s">
        <v>107</v>
      </c>
      <c r="K23" s="7" t="s">
        <v>78</v>
      </c>
      <c r="L23" s="7" t="s">
        <v>108</v>
      </c>
      <c r="M23" s="5" t="s">
        <v>109</v>
      </c>
    </row>
    <row r="24" customFormat="false" ht="15" hidden="false" customHeight="false" outlineLevel="0" collapsed="false">
      <c r="A24" s="5" t="s">
        <v>110</v>
      </c>
      <c r="B24" s="6" t="s">
        <v>111</v>
      </c>
      <c r="C24" s="6" t="s">
        <v>112</v>
      </c>
      <c r="D24" s="7" t="n">
        <v>1</v>
      </c>
      <c r="E24" s="10" t="n">
        <v>310</v>
      </c>
      <c r="F24" s="9" t="n">
        <f aca="false">D24*E24</f>
        <v>310</v>
      </c>
      <c r="G24" s="6" t="s">
        <v>42</v>
      </c>
      <c r="H24" s="7" t="s">
        <v>43</v>
      </c>
      <c r="I24" s="5" t="s">
        <v>86</v>
      </c>
      <c r="J24" s="5" t="s">
        <v>86</v>
      </c>
      <c r="K24" s="7" t="s">
        <v>86</v>
      </c>
      <c r="L24" s="7" t="s">
        <v>113</v>
      </c>
      <c r="M24" s="5" t="s">
        <v>114</v>
      </c>
    </row>
    <row r="25" customFormat="false" ht="15" hidden="false" customHeight="false" outlineLevel="0" collapsed="false">
      <c r="A25" s="11"/>
      <c r="B25" s="11"/>
      <c r="C25" s="11"/>
      <c r="D25" s="11"/>
      <c r="E25" s="12"/>
      <c r="F25" s="13" t="str">
        <f aca="false">IF(D25*E25=0,"",D25*E25)</f>
        <v/>
      </c>
      <c r="G25" s="11"/>
      <c r="H25" s="11"/>
      <c r="I25" s="11"/>
      <c r="J25" s="11"/>
      <c r="K25" s="11"/>
      <c r="L25" s="11"/>
      <c r="M25" s="11"/>
    </row>
    <row r="26" customFormat="false" ht="15" hidden="false" customHeight="false" outlineLevel="0" collapsed="false">
      <c r="A26" s="11"/>
      <c r="B26" s="11"/>
      <c r="C26" s="11"/>
      <c r="D26" s="11"/>
      <c r="E26" s="12"/>
      <c r="F26" s="13" t="str">
        <f aca="false">IF(D26*E26=0,"",D26*E26)</f>
        <v/>
      </c>
      <c r="G26" s="11"/>
      <c r="H26" s="11"/>
      <c r="I26" s="11"/>
      <c r="J26" s="11"/>
      <c r="K26" s="11"/>
      <c r="L26" s="11"/>
      <c r="M26" s="11"/>
    </row>
    <row r="27" customFormat="false" ht="15" hidden="false" customHeight="false" outlineLevel="0" collapsed="false">
      <c r="A27" s="11"/>
      <c r="B27" s="11"/>
      <c r="C27" s="11"/>
      <c r="D27" s="11"/>
      <c r="E27" s="12"/>
      <c r="F27" s="13" t="str">
        <f aca="false">IF(D27*E27=0,"",D27*E27)</f>
        <v/>
      </c>
      <c r="G27" s="11"/>
      <c r="H27" s="11"/>
      <c r="I27" s="11"/>
      <c r="J27" s="11"/>
      <c r="K27" s="11"/>
      <c r="L27" s="11"/>
      <c r="M27" s="11"/>
    </row>
    <row r="28" customFormat="false" ht="15" hidden="false" customHeight="false" outlineLevel="0" collapsed="false">
      <c r="A28" s="11"/>
      <c r="B28" s="11"/>
      <c r="C28" s="11"/>
      <c r="D28" s="11"/>
      <c r="E28" s="12"/>
      <c r="F28" s="13" t="str">
        <f aca="false">IF(D28*E28=0,"",D28*E28)</f>
        <v/>
      </c>
      <c r="G28" s="11"/>
      <c r="H28" s="11"/>
      <c r="I28" s="11"/>
      <c r="J28" s="11"/>
      <c r="K28" s="11"/>
      <c r="L28" s="11"/>
      <c r="M28" s="11"/>
    </row>
    <row r="29" customFormat="false" ht="15" hidden="false" customHeight="false" outlineLevel="0" collapsed="false">
      <c r="A29" s="11"/>
      <c r="B29" s="11"/>
      <c r="C29" s="11"/>
      <c r="D29" s="11"/>
      <c r="E29" s="12"/>
      <c r="F29" s="13" t="str">
        <f aca="false">IF(D29*E29=0,"",D29*E29)</f>
        <v/>
      </c>
      <c r="G29" s="11"/>
      <c r="H29" s="11"/>
      <c r="I29" s="11"/>
      <c r="J29" s="11"/>
      <c r="K29" s="11"/>
      <c r="L29" s="11"/>
      <c r="M29" s="11"/>
    </row>
    <row r="30" customFormat="false" ht="15" hidden="false" customHeight="false" outlineLevel="0" collapsed="false">
      <c r="A30" s="11"/>
      <c r="B30" s="11"/>
      <c r="C30" s="11"/>
      <c r="D30" s="11"/>
      <c r="E30" s="12"/>
      <c r="F30" s="13" t="str">
        <f aca="false">IF(D30*E30=0,"",D30*E30)</f>
        <v/>
      </c>
      <c r="G30" s="11"/>
      <c r="H30" s="11"/>
      <c r="I30" s="11"/>
      <c r="J30" s="11"/>
      <c r="K30" s="11"/>
      <c r="L30" s="11"/>
      <c r="M30" s="11"/>
    </row>
    <row r="31" customFormat="false" ht="15" hidden="false" customHeight="false" outlineLevel="0" collapsed="false">
      <c r="A31" s="11"/>
      <c r="B31" s="11"/>
      <c r="C31" s="11"/>
      <c r="D31" s="11"/>
      <c r="E31" s="12"/>
      <c r="F31" s="13" t="str">
        <f aca="false">IF(D31*E31=0,"",D31*E31)</f>
        <v/>
      </c>
      <c r="G31" s="11"/>
      <c r="H31" s="11"/>
      <c r="I31" s="11"/>
      <c r="J31" s="11"/>
      <c r="K31" s="11"/>
      <c r="L31" s="11"/>
      <c r="M31" s="11"/>
    </row>
    <row r="32" customFormat="false" ht="15" hidden="false" customHeight="false" outlineLevel="0" collapsed="false">
      <c r="A32" s="11"/>
      <c r="B32" s="11"/>
      <c r="C32" s="11"/>
      <c r="D32" s="11"/>
      <c r="E32" s="12"/>
      <c r="F32" s="13" t="str">
        <f aca="false">IF(D32*E32=0,"",D32*E32)</f>
        <v/>
      </c>
      <c r="G32" s="11"/>
      <c r="H32" s="11"/>
      <c r="I32" s="11"/>
      <c r="J32" s="11"/>
      <c r="K32" s="11"/>
      <c r="L32" s="11"/>
      <c r="M32" s="11"/>
    </row>
    <row r="33" customFormat="false" ht="15" hidden="false" customHeight="false" outlineLevel="0" collapsed="false">
      <c r="A33" s="11"/>
      <c r="B33" s="11"/>
      <c r="C33" s="11"/>
      <c r="D33" s="11"/>
      <c r="E33" s="12"/>
      <c r="F33" s="13" t="str">
        <f aca="false">IF(D33*E33=0,"",D33*E33)</f>
        <v/>
      </c>
      <c r="G33" s="11"/>
      <c r="H33" s="11"/>
      <c r="I33" s="11"/>
      <c r="J33" s="11"/>
      <c r="K33" s="11"/>
      <c r="L33" s="11"/>
      <c r="M33" s="11"/>
    </row>
    <row r="34" customFormat="false" ht="15" hidden="false" customHeight="false" outlineLevel="0" collapsed="false">
      <c r="A34" s="11"/>
      <c r="B34" s="11"/>
      <c r="C34" s="11"/>
      <c r="D34" s="11"/>
      <c r="E34" s="12"/>
      <c r="F34" s="13" t="str">
        <f aca="false">IF(D34*E34=0,"",D34*E34)</f>
        <v/>
      </c>
      <c r="G34" s="11"/>
      <c r="H34" s="11"/>
      <c r="I34" s="11"/>
      <c r="J34" s="11"/>
      <c r="K34" s="11"/>
      <c r="L34" s="11"/>
      <c r="M34" s="11"/>
    </row>
    <row r="36" customFormat="false" ht="15" hidden="false" customHeight="false" outlineLevel="0" collapsed="false">
      <c r="A36" s="14" t="s">
        <v>115</v>
      </c>
      <c r="F36" s="15" t="n">
        <f aca="false">SUM(F6:F34)</f>
        <v>3999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B4" s="14" t="s">
        <v>118</v>
      </c>
      <c r="C4" s="16" t="n">
        <v>4000</v>
      </c>
    </row>
    <row r="6" customFormat="false" ht="15" hidden="false" customHeight="false" outlineLevel="0" collapsed="false">
      <c r="A6" s="17" t="s">
        <v>5</v>
      </c>
      <c r="B6" s="17" t="s">
        <v>119</v>
      </c>
      <c r="C6" s="17" t="s">
        <v>120</v>
      </c>
      <c r="D6" s="17" t="s">
        <v>121</v>
      </c>
      <c r="E6" s="17" t="s">
        <v>122</v>
      </c>
    </row>
    <row r="7" customFormat="false" ht="15" hidden="false" customHeight="false" outlineLevel="0" collapsed="false">
      <c r="A7" s="18" t="s">
        <v>18</v>
      </c>
      <c r="B7" s="19" t="n">
        <v>1975</v>
      </c>
      <c r="C7" s="20" t="n">
        <f aca="false">SUMIFS('Master Checklist'!$F$6:$F$34,'Master Checklist'!$C$6:$C$34,A7)</f>
        <v>1975</v>
      </c>
      <c r="D7" s="20" t="n">
        <f aca="false">B7-C7</f>
        <v>0</v>
      </c>
      <c r="E7" s="21" t="n">
        <f aca="false">B7/$C$4</f>
        <v>0.49375</v>
      </c>
    </row>
    <row r="8" customFormat="false" ht="15" hidden="false" customHeight="false" outlineLevel="0" collapsed="false">
      <c r="A8" s="18" t="s">
        <v>41</v>
      </c>
      <c r="B8" s="19" t="n">
        <v>360</v>
      </c>
      <c r="C8" s="20" t="n">
        <f aca="false">SUMIFS('Master Checklist'!$F$6:$F$34,'Master Checklist'!$C$6:$C$34,A8)</f>
        <v>359</v>
      </c>
      <c r="D8" s="20" t="n">
        <f aca="false">B8-C8</f>
        <v>1</v>
      </c>
      <c r="E8" s="21" t="n">
        <f aca="false">B8/$C$4</f>
        <v>0.09</v>
      </c>
    </row>
    <row r="9" customFormat="false" ht="15" hidden="false" customHeight="false" outlineLevel="0" collapsed="false">
      <c r="A9" s="18" t="s">
        <v>53</v>
      </c>
      <c r="B9" s="19" t="n">
        <v>400</v>
      </c>
      <c r="C9" s="20" t="n">
        <f aca="false">SUMIFS('Master Checklist'!$F$6:$F$34,'Master Checklist'!$C$6:$C$34,A9)</f>
        <v>400</v>
      </c>
      <c r="D9" s="20" t="n">
        <f aca="false">B9-C9</f>
        <v>0</v>
      </c>
      <c r="E9" s="21" t="n">
        <f aca="false">B9/$C$4</f>
        <v>0.1</v>
      </c>
    </row>
    <row r="10" customFormat="false" ht="15" hidden="false" customHeight="false" outlineLevel="0" collapsed="false">
      <c r="A10" s="18" t="s">
        <v>84</v>
      </c>
      <c r="B10" s="19" t="n">
        <v>570</v>
      </c>
      <c r="C10" s="20" t="n">
        <f aca="false">SUMIFS('Master Checklist'!$F$6:$F$34,'Master Checklist'!$C$6:$C$34,A10)</f>
        <v>570</v>
      </c>
      <c r="D10" s="20" t="n">
        <f aca="false">B10-C10</f>
        <v>0</v>
      </c>
      <c r="E10" s="21" t="n">
        <f aca="false">B10/$C$4</f>
        <v>0.1425</v>
      </c>
    </row>
    <row r="11" customFormat="false" ht="15" hidden="false" customHeight="false" outlineLevel="0" collapsed="false">
      <c r="A11" s="18" t="s">
        <v>73</v>
      </c>
      <c r="B11" s="19" t="n">
        <v>235</v>
      </c>
      <c r="C11" s="20" t="n">
        <f aca="false">SUMIFS('Master Checklist'!$F$6:$F$34,'Master Checklist'!$C$6:$C$34,A11)</f>
        <v>235</v>
      </c>
      <c r="D11" s="20" t="n">
        <f aca="false">B11-C11</f>
        <v>0</v>
      </c>
      <c r="E11" s="21" t="n">
        <f aca="false">B11/$C$4</f>
        <v>0.05875</v>
      </c>
    </row>
    <row r="12" customFormat="false" ht="15" hidden="false" customHeight="false" outlineLevel="0" collapsed="false">
      <c r="A12" s="18" t="s">
        <v>96</v>
      </c>
      <c r="B12" s="19" t="n">
        <v>150</v>
      </c>
      <c r="C12" s="20" t="n">
        <f aca="false">SUMIFS('Master Checklist'!$F$6:$F$34,'Master Checklist'!$C$6:$C$34,A12)</f>
        <v>150</v>
      </c>
      <c r="D12" s="20" t="n">
        <f aca="false">B12-C12</f>
        <v>0</v>
      </c>
      <c r="E12" s="21" t="n">
        <f aca="false">B12/$C$4</f>
        <v>0.0375</v>
      </c>
    </row>
    <row r="13" customFormat="false" ht="15" hidden="false" customHeight="false" outlineLevel="0" collapsed="false">
      <c r="A13" s="18" t="s">
        <v>112</v>
      </c>
      <c r="B13" s="19" t="n">
        <v>310</v>
      </c>
      <c r="C13" s="20" t="n">
        <f aca="false">SUMIFS('Master Checklist'!$F$6:$F$34,'Master Checklist'!$C$6:$C$34,A13)</f>
        <v>310</v>
      </c>
      <c r="D13" s="20" t="n">
        <f aca="false">B13-C13</f>
        <v>0</v>
      </c>
      <c r="E13" s="21" t="n">
        <f aca="false">B13/$C$4</f>
        <v>0.0775</v>
      </c>
    </row>
    <row r="14" customFormat="false" ht="15" hidden="false" customHeight="false" outlineLevel="0" collapsed="false">
      <c r="A14" s="22" t="s">
        <v>123</v>
      </c>
      <c r="B14" s="23" t="n">
        <f aca="false">SUM(B7:B13)</f>
        <v>4000</v>
      </c>
      <c r="C14" s="23" t="n">
        <f aca="false">SUM(C7:C13)</f>
        <v>3999</v>
      </c>
      <c r="D14" s="23" t="n">
        <f aca="false">SUM(D7:D13)</f>
        <v>1</v>
      </c>
      <c r="E14" s="24" t="n">
        <f aca="false">B14/$C$4</f>
        <v>1</v>
      </c>
    </row>
    <row r="17" customFormat="false" ht="15" hidden="false" customHeight="false" outlineLevel="0" collapsed="false">
      <c r="A17" s="25" t="s">
        <v>124</v>
      </c>
    </row>
    <row r="18" customFormat="false" ht="15" hidden="false" customHeight="false" outlineLevel="0" collapsed="false">
      <c r="A18" s="18" t="s">
        <v>125</v>
      </c>
      <c r="C18" s="20" t="n">
        <f aca="false">SUMIFS('Master Checklist'!$F$6:$F$34,'Master Checklist'!$G$6:$G$34,"Cash")</f>
        <v>2024</v>
      </c>
    </row>
    <row r="19" customFormat="false" ht="15" hidden="false" customHeight="false" outlineLevel="0" collapsed="false">
      <c r="A19" s="18" t="s">
        <v>126</v>
      </c>
      <c r="C19" s="20" t="n">
        <f aca="false">SUMIFS('Master Checklist'!$F$6:$F$34,'Master Checklist'!$G$6:$G$34,"Inventory COGS")</f>
        <v>1975</v>
      </c>
    </row>
    <row r="20" customFormat="false" ht="15" hidden="false" customHeight="false" outlineLevel="0" collapsed="false">
      <c r="A20" s="18" t="s">
        <v>127</v>
      </c>
      <c r="C20" s="20" t="n">
        <f aca="false">SUMIFS('Master Checklist'!$F$6:$F$34,'Master Checklist'!$G$6:$G$34,"Existing stock")</f>
        <v>0</v>
      </c>
    </row>
    <row r="21" customFormat="false" ht="15" hidden="false" customHeight="false" outlineLevel="0" collapsed="false">
      <c r="A21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129</v>
      </c>
    </row>
    <row r="3" customFormat="false" ht="15" hidden="false" customHeight="false" outlineLevel="0" collapsed="false">
      <c r="A3" s="26" t="s">
        <v>130</v>
      </c>
      <c r="B3" s="27"/>
      <c r="C3" s="27"/>
      <c r="D3" s="27"/>
    </row>
    <row r="4" customFormat="false" ht="15" hidden="false" customHeight="false" outlineLevel="0" collapsed="false">
      <c r="A4" s="28" t="s">
        <v>131</v>
      </c>
      <c r="B4" s="28" t="s">
        <v>132</v>
      </c>
      <c r="C4" s="28" t="s">
        <v>10</v>
      </c>
      <c r="D4" s="28" t="s">
        <v>133</v>
      </c>
    </row>
    <row r="5" customFormat="false" ht="23.85" hidden="false" customHeight="false" outlineLevel="0" collapsed="false">
      <c r="A5" s="6" t="s">
        <v>134</v>
      </c>
      <c r="B5" s="6" t="s">
        <v>135</v>
      </c>
      <c r="C5" s="6" t="s">
        <v>29</v>
      </c>
      <c r="D5" s="5" t="s">
        <v>136</v>
      </c>
    </row>
    <row r="6" customFormat="false" ht="23.85" hidden="false" customHeight="false" outlineLevel="0" collapsed="false">
      <c r="A6" s="6" t="s">
        <v>134</v>
      </c>
      <c r="B6" s="6" t="s">
        <v>137</v>
      </c>
      <c r="C6" s="6" t="s">
        <v>43</v>
      </c>
      <c r="D6" s="5" t="s">
        <v>138</v>
      </c>
    </row>
    <row r="7" customFormat="false" ht="15" hidden="false" customHeight="false" outlineLevel="0" collapsed="false">
      <c r="A7" s="6" t="s">
        <v>139</v>
      </c>
      <c r="B7" s="6" t="s">
        <v>140</v>
      </c>
      <c r="C7" s="6" t="s">
        <v>29</v>
      </c>
      <c r="D7" s="5"/>
    </row>
    <row r="8" customFormat="false" ht="15" hidden="false" customHeight="false" outlineLevel="0" collapsed="false">
      <c r="A8" s="6" t="s">
        <v>141</v>
      </c>
      <c r="B8" s="6" t="s">
        <v>142</v>
      </c>
      <c r="C8" s="6" t="s">
        <v>43</v>
      </c>
      <c r="D8" s="5" t="s">
        <v>143</v>
      </c>
    </row>
    <row r="9" customFormat="false" ht="15" hidden="false" customHeight="false" outlineLevel="0" collapsed="false">
      <c r="A9" s="6" t="s">
        <v>144</v>
      </c>
      <c r="B9" s="6" t="s">
        <v>145</v>
      </c>
      <c r="C9" s="6" t="s">
        <v>43</v>
      </c>
      <c r="D9" s="5" t="s">
        <v>146</v>
      </c>
    </row>
    <row r="10" customFormat="false" ht="15" hidden="false" customHeight="false" outlineLevel="0" collapsed="false">
      <c r="A10" s="6" t="s">
        <v>147</v>
      </c>
      <c r="B10" s="6" t="s">
        <v>148</v>
      </c>
      <c r="C10" s="6" t="s">
        <v>43</v>
      </c>
      <c r="D10" s="5" t="s">
        <v>149</v>
      </c>
    </row>
    <row r="11" customFormat="false" ht="15" hidden="false" customHeight="false" outlineLevel="0" collapsed="false">
      <c r="A11" s="6" t="s">
        <v>150</v>
      </c>
      <c r="B11" s="6" t="s">
        <v>151</v>
      </c>
      <c r="C11" s="6" t="s">
        <v>20</v>
      </c>
      <c r="D11" s="5" t="s">
        <v>152</v>
      </c>
    </row>
    <row r="12" customFormat="false" ht="23.85" hidden="false" customHeight="false" outlineLevel="0" collapsed="false">
      <c r="A12" s="6" t="s">
        <v>153</v>
      </c>
      <c r="B12" s="6" t="s">
        <v>154</v>
      </c>
      <c r="C12" s="6" t="s">
        <v>49</v>
      </c>
      <c r="D12" s="5" t="s">
        <v>155</v>
      </c>
    </row>
    <row r="13" customFormat="false" ht="15" hidden="false" customHeight="false" outlineLevel="0" collapsed="false">
      <c r="A13" s="6" t="s">
        <v>156</v>
      </c>
      <c r="B13" s="6" t="s">
        <v>157</v>
      </c>
      <c r="C13" s="6" t="s">
        <v>68</v>
      </c>
      <c r="D13" s="5"/>
    </row>
    <row r="14" customFormat="false" ht="15" hidden="false" customHeight="false" outlineLevel="0" collapsed="false">
      <c r="A14" s="6" t="s">
        <v>158</v>
      </c>
      <c r="B14" s="6" t="s">
        <v>159</v>
      </c>
      <c r="C14" s="6" t="s">
        <v>160</v>
      </c>
      <c r="D14" s="5" t="s">
        <v>161</v>
      </c>
    </row>
    <row r="15" customFormat="false" ht="15" hidden="false" customHeight="false" outlineLevel="0" collapsed="false">
      <c r="A15" s="6" t="s">
        <v>82</v>
      </c>
      <c r="B15" s="6" t="s">
        <v>162</v>
      </c>
      <c r="C15" s="6" t="s">
        <v>49</v>
      </c>
      <c r="D15" s="5" t="s">
        <v>163</v>
      </c>
    </row>
    <row r="16" customFormat="false" ht="15" hidden="false" customHeight="false" outlineLevel="0" collapsed="false">
      <c r="A16" s="6" t="s">
        <v>78</v>
      </c>
      <c r="B16" s="6" t="s">
        <v>164</v>
      </c>
      <c r="C16" s="6" t="s">
        <v>165</v>
      </c>
      <c r="D16" s="5" t="s">
        <v>166</v>
      </c>
    </row>
    <row r="17" customFormat="false" ht="15" hidden="false" customHeight="false" outlineLevel="0" collapsed="false">
      <c r="A17" s="6" t="s">
        <v>78</v>
      </c>
      <c r="B17" s="6" t="s">
        <v>167</v>
      </c>
      <c r="C17" s="6" t="s">
        <v>160</v>
      </c>
      <c r="D17" s="5" t="s">
        <v>168</v>
      </c>
    </row>
    <row r="18" customFormat="false" ht="15" hidden="false" customHeight="false" outlineLevel="0" collapsed="false">
      <c r="A18" s="6" t="s">
        <v>169</v>
      </c>
      <c r="B18" s="6" t="s">
        <v>170</v>
      </c>
      <c r="C18" s="6" t="s">
        <v>160</v>
      </c>
      <c r="D18" s="5" t="s">
        <v>171</v>
      </c>
    </row>
    <row r="19" customFormat="false" ht="15" hidden="false" customHeight="false" outlineLevel="0" collapsed="false">
      <c r="A19" s="6" t="s">
        <v>172</v>
      </c>
      <c r="B19" s="6" t="s">
        <v>173</v>
      </c>
      <c r="C19" s="6" t="s">
        <v>43</v>
      </c>
      <c r="D19" s="5"/>
    </row>
    <row r="21" customFormat="false" ht="15" hidden="false" customHeight="false" outlineLevel="0" collapsed="false">
      <c r="A21" s="26" t="s">
        <v>174</v>
      </c>
      <c r="B21" s="27"/>
      <c r="C21" s="27"/>
      <c r="D21" s="27"/>
    </row>
    <row r="22" customFormat="false" ht="15" hidden="false" customHeight="false" outlineLevel="0" collapsed="false">
      <c r="A22" s="28" t="s">
        <v>175</v>
      </c>
      <c r="B22" s="28" t="s">
        <v>176</v>
      </c>
      <c r="C22" s="28" t="s">
        <v>177</v>
      </c>
      <c r="D22" s="28" t="s">
        <v>15</v>
      </c>
    </row>
    <row r="23" customFormat="false" ht="15" hidden="false" customHeight="false" outlineLevel="0" collapsed="false">
      <c r="A23" s="6" t="s">
        <v>178</v>
      </c>
      <c r="B23" s="6" t="s">
        <v>179</v>
      </c>
      <c r="C23" s="6" t="s">
        <v>180</v>
      </c>
      <c r="D23" s="5" t="s">
        <v>181</v>
      </c>
    </row>
    <row r="24" customFormat="false" ht="15" hidden="false" customHeight="false" outlineLevel="0" collapsed="false">
      <c r="A24" s="6" t="s">
        <v>182</v>
      </c>
      <c r="B24" s="6" t="s">
        <v>183</v>
      </c>
      <c r="C24" s="6" t="s">
        <v>184</v>
      </c>
      <c r="D24" s="5" t="s">
        <v>185</v>
      </c>
    </row>
    <row r="25" customFormat="false" ht="15" hidden="false" customHeight="false" outlineLevel="0" collapsed="false">
      <c r="A25" s="6" t="s">
        <v>186</v>
      </c>
      <c r="B25" s="6" t="s">
        <v>187</v>
      </c>
      <c r="C25" s="6" t="s">
        <v>188</v>
      </c>
      <c r="D25" s="5" t="s">
        <v>189</v>
      </c>
    </row>
    <row r="26" customFormat="false" ht="15" hidden="false" customHeight="false" outlineLevel="0" collapsed="false">
      <c r="A26" s="6" t="s">
        <v>190</v>
      </c>
      <c r="B26" s="6" t="s">
        <v>191</v>
      </c>
      <c r="C26" s="6" t="s">
        <v>160</v>
      </c>
      <c r="D26" s="5" t="s">
        <v>192</v>
      </c>
    </row>
    <row r="27" customFormat="false" ht="15" hidden="false" customHeight="false" outlineLevel="0" collapsed="false">
      <c r="A27" s="6" t="s">
        <v>193</v>
      </c>
      <c r="B27" s="6" t="s">
        <v>194</v>
      </c>
      <c r="C27" s="6" t="s">
        <v>160</v>
      </c>
      <c r="D27" s="5" t="s">
        <v>195</v>
      </c>
    </row>
    <row r="28" customFormat="false" ht="15" hidden="false" customHeight="false" outlineLevel="0" collapsed="false">
      <c r="A28" s="6" t="s">
        <v>196</v>
      </c>
      <c r="B28" s="6" t="s">
        <v>197</v>
      </c>
      <c r="C28" s="6" t="s">
        <v>198</v>
      </c>
      <c r="D28" s="5" t="s">
        <v>199</v>
      </c>
    </row>
    <row r="30" customFormat="false" ht="15" hidden="false" customHeight="false" outlineLevel="0" collapsed="false">
      <c r="A30" s="26" t="s">
        <v>200</v>
      </c>
      <c r="B30" s="27"/>
      <c r="C30" s="27"/>
      <c r="D30" s="27"/>
    </row>
    <row r="31" customFormat="false" ht="15" hidden="false" customHeight="false" outlineLevel="0" collapsed="false">
      <c r="A31" s="28" t="s">
        <v>201</v>
      </c>
      <c r="B31" s="28" t="s">
        <v>202</v>
      </c>
      <c r="C31" s="28" t="s">
        <v>203</v>
      </c>
      <c r="D31" s="28" t="s">
        <v>15</v>
      </c>
    </row>
    <row r="32" customFormat="false" ht="15" hidden="false" customHeight="false" outlineLevel="0" collapsed="false">
      <c r="A32" s="29" t="s">
        <v>204</v>
      </c>
      <c r="B32" s="29" t="s">
        <v>205</v>
      </c>
      <c r="C32" s="29" t="s">
        <v>206</v>
      </c>
      <c r="D32" s="29" t="s">
        <v>207</v>
      </c>
    </row>
    <row r="33" customFormat="false" ht="15" hidden="false" customHeight="false" outlineLevel="0" collapsed="false">
      <c r="A33" s="29" t="s">
        <v>208</v>
      </c>
      <c r="B33" s="29" t="s">
        <v>209</v>
      </c>
      <c r="C33" s="29" t="s">
        <v>206</v>
      </c>
      <c r="D33" s="29" t="s">
        <v>210</v>
      </c>
    </row>
    <row r="34" customFormat="false" ht="15" hidden="false" customHeight="false" outlineLevel="0" collapsed="false">
      <c r="A34" s="29" t="s">
        <v>68</v>
      </c>
      <c r="B34" s="29" t="s">
        <v>211</v>
      </c>
      <c r="C34" s="29" t="s">
        <v>206</v>
      </c>
      <c r="D34" s="29" t="s">
        <v>212</v>
      </c>
    </row>
    <row r="35" customFormat="false" ht="15" hidden="false" customHeight="false" outlineLevel="0" collapsed="false">
      <c r="A35" s="29" t="s">
        <v>213</v>
      </c>
      <c r="B35" s="29" t="s">
        <v>214</v>
      </c>
      <c r="C35" s="29" t="s">
        <v>215</v>
      </c>
      <c r="D35" s="29" t="s">
        <v>216</v>
      </c>
    </row>
    <row r="36" customFormat="false" ht="15" hidden="false" customHeight="false" outlineLevel="0" collapsed="false">
      <c r="A36" s="29" t="s">
        <v>217</v>
      </c>
      <c r="B36" s="29" t="s">
        <v>218</v>
      </c>
      <c r="C36" s="29" t="s">
        <v>165</v>
      </c>
      <c r="D36" s="29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220</v>
      </c>
    </row>
    <row r="3" customFormat="false" ht="15" hidden="false" customHeight="false" outlineLevel="0" collapsed="false">
      <c r="A3" s="26" t="s">
        <v>221</v>
      </c>
      <c r="B3" s="27"/>
      <c r="C3" s="27"/>
      <c r="D3" s="27"/>
    </row>
    <row r="4" customFormat="false" ht="15" hidden="false" customHeight="false" outlineLevel="0" collapsed="false">
      <c r="A4" s="28" t="s">
        <v>222</v>
      </c>
      <c r="B4" s="28" t="s">
        <v>223</v>
      </c>
      <c r="C4" s="28" t="s">
        <v>10</v>
      </c>
      <c r="D4" s="28" t="s">
        <v>224</v>
      </c>
    </row>
    <row r="5" customFormat="false" ht="23.85" hidden="false" customHeight="false" outlineLevel="0" collapsed="false">
      <c r="A5" s="6" t="s">
        <v>225</v>
      </c>
      <c r="B5" s="5" t="s">
        <v>226</v>
      </c>
      <c r="C5" s="6" t="s">
        <v>43</v>
      </c>
      <c r="D5" s="5" t="s">
        <v>227</v>
      </c>
    </row>
    <row r="6" customFormat="false" ht="23.85" hidden="false" customHeight="false" outlineLevel="0" collapsed="false">
      <c r="A6" s="6" t="s">
        <v>228</v>
      </c>
      <c r="B6" s="5" t="s">
        <v>229</v>
      </c>
      <c r="C6" s="6" t="s">
        <v>43</v>
      </c>
      <c r="D6" s="5" t="s">
        <v>230</v>
      </c>
    </row>
    <row r="7" customFormat="false" ht="23.85" hidden="false" customHeight="false" outlineLevel="0" collapsed="false">
      <c r="A7" s="6" t="s">
        <v>231</v>
      </c>
      <c r="B7" s="5" t="s">
        <v>232</v>
      </c>
      <c r="C7" s="6" t="s">
        <v>233</v>
      </c>
      <c r="D7" s="5" t="s">
        <v>234</v>
      </c>
    </row>
    <row r="8" customFormat="false" ht="15" hidden="false" customHeight="false" outlineLevel="0" collapsed="false">
      <c r="A8" s="6" t="s">
        <v>235</v>
      </c>
      <c r="B8" s="5" t="s">
        <v>236</v>
      </c>
      <c r="C8" s="6" t="s">
        <v>237</v>
      </c>
      <c r="D8" s="5" t="s">
        <v>238</v>
      </c>
    </row>
    <row r="9" customFormat="false" ht="23.85" hidden="false" customHeight="false" outlineLevel="0" collapsed="false">
      <c r="A9" s="6" t="s">
        <v>239</v>
      </c>
      <c r="B9" s="5" t="s">
        <v>240</v>
      </c>
      <c r="C9" s="6" t="s">
        <v>20</v>
      </c>
      <c r="D9" s="5" t="s">
        <v>241</v>
      </c>
    </row>
    <row r="11" customFormat="false" ht="15" hidden="false" customHeight="false" outlineLevel="0" collapsed="false">
      <c r="A11" s="26" t="s">
        <v>242</v>
      </c>
      <c r="B11" s="27"/>
      <c r="C11" s="27"/>
      <c r="D11" s="27"/>
    </row>
    <row r="12" customFormat="false" ht="15" hidden="false" customHeight="false" outlineLevel="0" collapsed="false">
      <c r="A12" s="28" t="s">
        <v>243</v>
      </c>
      <c r="B12" s="28" t="s">
        <v>244</v>
      </c>
      <c r="C12" s="28" t="s">
        <v>245</v>
      </c>
      <c r="D12" s="28" t="s">
        <v>246</v>
      </c>
    </row>
    <row r="13" customFormat="false" ht="23.85" hidden="false" customHeight="false" outlineLevel="0" collapsed="false">
      <c r="A13" s="5" t="s">
        <v>247</v>
      </c>
      <c r="B13" s="6" t="s">
        <v>248</v>
      </c>
      <c r="C13" s="6" t="s">
        <v>249</v>
      </c>
      <c r="D13" s="5" t="s">
        <v>250</v>
      </c>
    </row>
    <row r="14" customFormat="false" ht="15" hidden="false" customHeight="false" outlineLevel="0" collapsed="false">
      <c r="A14" s="5" t="s">
        <v>251</v>
      </c>
      <c r="B14" s="6" t="s">
        <v>252</v>
      </c>
      <c r="C14" s="6" t="s">
        <v>178</v>
      </c>
      <c r="D14" s="5" t="s">
        <v>253</v>
      </c>
    </row>
    <row r="15" customFormat="false" ht="15" hidden="false" customHeight="false" outlineLevel="0" collapsed="false">
      <c r="A15" s="5" t="s">
        <v>254</v>
      </c>
      <c r="B15" s="6" t="s">
        <v>255</v>
      </c>
      <c r="C15" s="6" t="s">
        <v>256</v>
      </c>
      <c r="D15" s="5" t="s">
        <v>257</v>
      </c>
    </row>
    <row r="16" customFormat="false" ht="23.85" hidden="false" customHeight="false" outlineLevel="0" collapsed="false">
      <c r="A16" s="5" t="s">
        <v>258</v>
      </c>
      <c r="B16" s="6" t="s">
        <v>259</v>
      </c>
      <c r="C16" s="6" t="s">
        <v>260</v>
      </c>
      <c r="D16" s="5" t="s">
        <v>261</v>
      </c>
    </row>
    <row r="17" customFormat="false" ht="15" hidden="false" customHeight="false" outlineLevel="0" collapsed="false">
      <c r="A17" s="5" t="s">
        <v>262</v>
      </c>
      <c r="B17" s="6" t="s">
        <v>263</v>
      </c>
      <c r="C17" s="6" t="s">
        <v>264</v>
      </c>
      <c r="D17" s="5" t="s">
        <v>265</v>
      </c>
    </row>
    <row r="18" customFormat="false" ht="15" hidden="false" customHeight="false" outlineLevel="0" collapsed="false">
      <c r="A18" s="5" t="s">
        <v>266</v>
      </c>
      <c r="B18" s="6" t="s">
        <v>267</v>
      </c>
      <c r="C18" s="6" t="s">
        <v>268</v>
      </c>
      <c r="D18" s="5" t="s">
        <v>269</v>
      </c>
    </row>
    <row r="19" customFormat="false" ht="23.85" hidden="false" customHeight="false" outlineLevel="0" collapsed="false">
      <c r="A19" s="5" t="s">
        <v>270</v>
      </c>
      <c r="B19" s="6" t="s">
        <v>271</v>
      </c>
      <c r="C19" s="6" t="s">
        <v>272</v>
      </c>
      <c r="D19" s="5" t="s">
        <v>273</v>
      </c>
    </row>
    <row r="21" customFormat="false" ht="15" hidden="false" customHeight="false" outlineLevel="0" collapsed="false">
      <c r="A21" s="26" t="s">
        <v>274</v>
      </c>
      <c r="B21" s="27"/>
      <c r="C21" s="27"/>
      <c r="D21" s="27"/>
    </row>
    <row r="22" customFormat="false" ht="15" hidden="false" customHeight="false" outlineLevel="0" collapsed="false">
      <c r="A22" s="28" t="s">
        <v>275</v>
      </c>
      <c r="B22" s="28" t="s">
        <v>133</v>
      </c>
      <c r="C22" s="28" t="s">
        <v>10</v>
      </c>
      <c r="D22" s="28" t="s">
        <v>13</v>
      </c>
    </row>
    <row r="23" customFormat="false" ht="15" hidden="false" customHeight="false" outlineLevel="0" collapsed="false">
      <c r="A23" s="6" t="s">
        <v>276</v>
      </c>
      <c r="B23" s="5" t="s">
        <v>277</v>
      </c>
      <c r="C23" s="6" t="s">
        <v>278</v>
      </c>
      <c r="D23" s="6" t="s">
        <v>279</v>
      </c>
    </row>
    <row r="24" customFormat="false" ht="15" hidden="false" customHeight="false" outlineLevel="0" collapsed="false">
      <c r="A24" s="6" t="s">
        <v>280</v>
      </c>
      <c r="B24" s="5" t="s">
        <v>281</v>
      </c>
      <c r="C24" s="6" t="s">
        <v>278</v>
      </c>
      <c r="D24" s="6" t="s">
        <v>282</v>
      </c>
    </row>
    <row r="25" customFormat="false" ht="15" hidden="false" customHeight="false" outlineLevel="0" collapsed="false">
      <c r="A25" s="6" t="s">
        <v>283</v>
      </c>
      <c r="B25" s="5" t="s">
        <v>284</v>
      </c>
      <c r="C25" s="6" t="s">
        <v>43</v>
      </c>
      <c r="D25" s="6" t="s">
        <v>285</v>
      </c>
    </row>
    <row r="26" customFormat="false" ht="15" hidden="false" customHeight="false" outlineLevel="0" collapsed="false">
      <c r="A26" s="6" t="s">
        <v>286</v>
      </c>
      <c r="B26" s="5" t="s">
        <v>287</v>
      </c>
      <c r="C26" s="6" t="s">
        <v>43</v>
      </c>
      <c r="D26" s="6" t="s">
        <v>288</v>
      </c>
    </row>
    <row r="27" customFormat="false" ht="15" hidden="false" customHeight="false" outlineLevel="0" collapsed="false">
      <c r="A27" s="6" t="s">
        <v>289</v>
      </c>
      <c r="B27" s="5" t="s">
        <v>290</v>
      </c>
      <c r="C27" s="6" t="s">
        <v>278</v>
      </c>
      <c r="D27" s="6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2026-07-17T08:48:04Z</dcterms:created>
  <dc:creator>openpyxl</dc:creator>
  <dc:description/>
  <dc:language>en-US</dc:language>
  <cp:lastModifiedBy/>
  <dcterms:modified xsi:type="dcterms:W3CDTF">2026-07-17T08:48:04Z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